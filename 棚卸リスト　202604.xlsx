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miko\Desktop\鶏やま\"/>
    </mc:Choice>
  </mc:AlternateContent>
  <xr:revisionPtr revIDLastSave="0" documentId="8_{5C4FDF90-384F-412D-9A06-9FB6FDA898C4}" xr6:coauthVersionLast="47" xr6:coauthVersionMax="47" xr10:uidLastSave="{00000000-0000-0000-0000-000000000000}"/>
  <bookViews>
    <workbookView xWindow="-28920" yWindow="1725" windowWidth="29040" windowHeight="15720" xr2:uid="{3BD5A847-3953-4E0A-9DEC-9899878EE865}"/>
  </bookViews>
  <sheets>
    <sheet name="Sheet1 (5)" sheetId="7" r:id="rId1"/>
    <sheet name="さんちょうめ1" sheetId="1" r:id="rId2"/>
    <sheet name="さんちょうめ2" sheetId="3" r:id="rId3"/>
    <sheet name="さんちょうめ3" sheetId="5" r:id="rId4"/>
    <sheet name="さんちょうめ4" sheetId="6" r:id="rId5"/>
    <sheet name="とりやま1" sheetId="10" r:id="rId6"/>
    <sheet name="とりやま2" sheetId="11" r:id="rId7"/>
    <sheet name="とりやま3" sheetId="12" r:id="rId8"/>
    <sheet name="とりやま4" sheetId="13" r:id="rId9"/>
    <sheet name="とりやま5" sheetId="14" r:id="rId10"/>
    <sheet name="とりやま６" sheetId="27" r:id="rId11"/>
    <sheet name="ｃｋ1" sheetId="15" r:id="rId12"/>
    <sheet name="ｃｋ2" sheetId="16" r:id="rId13"/>
    <sheet name="ｃｋ3" sheetId="17" r:id="rId14"/>
    <sheet name="ｃｋ4" sheetId="18" r:id="rId15"/>
    <sheet name="ベイク1" sheetId="19" r:id="rId16"/>
    <sheet name="ベイク2" sheetId="20" r:id="rId17"/>
    <sheet name="ベイク3" sheetId="25" r:id="rId18"/>
    <sheet name="ベイク4" sheetId="26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6" l="1"/>
  <c r="D35" i="19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3" i="27"/>
  <c r="D4" i="27"/>
  <c r="D5" i="27"/>
  <c r="D6" i="27"/>
  <c r="D7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2" i="27"/>
  <c r="H15" i="6"/>
  <c r="H19" i="6"/>
  <c r="D40" i="27" l="1"/>
  <c r="L14" i="25"/>
  <c r="L9" i="25"/>
  <c r="L10" i="25"/>
  <c r="L11" i="25"/>
  <c r="L8" i="25"/>
  <c r="D30" i="20"/>
  <c r="D31" i="20"/>
  <c r="D32" i="20"/>
  <c r="D33" i="20"/>
  <c r="D29" i="20"/>
  <c r="H34" i="19"/>
  <c r="H21" i="19"/>
  <c r="H22" i="19"/>
  <c r="H23" i="19"/>
  <c r="H24" i="19"/>
  <c r="H25" i="19"/>
  <c r="H26" i="19"/>
  <c r="H27" i="19"/>
  <c r="D31" i="19"/>
  <c r="D26" i="19"/>
  <c r="D10" i="19"/>
  <c r="D11" i="19"/>
  <c r="D12" i="19"/>
  <c r="D13" i="19"/>
  <c r="D14" i="19"/>
  <c r="D17" i="19"/>
  <c r="D18" i="19"/>
  <c r="D16" i="19"/>
  <c r="H17" i="19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2" i="25"/>
  <c r="H3" i="26"/>
  <c r="H4" i="26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7" i="26"/>
  <c r="H28" i="26"/>
  <c r="H29" i="26"/>
  <c r="H30" i="26"/>
  <c r="H31" i="26"/>
  <c r="H32" i="26"/>
  <c r="H33" i="26"/>
  <c r="H34" i="26"/>
  <c r="H35" i="26"/>
  <c r="H36" i="26"/>
  <c r="H37" i="26"/>
  <c r="H2" i="26"/>
  <c r="D3" i="26"/>
  <c r="D4" i="26"/>
  <c r="D5" i="26"/>
  <c r="D6" i="26"/>
  <c r="D7" i="26"/>
  <c r="D8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2" i="26"/>
  <c r="H5" i="19"/>
  <c r="H6" i="19"/>
  <c r="H9" i="19"/>
  <c r="H12" i="19"/>
  <c r="H13" i="19"/>
  <c r="H14" i="19"/>
  <c r="H15" i="19"/>
  <c r="H16" i="19"/>
  <c r="H18" i="19"/>
  <c r="H19" i="19"/>
  <c r="H20" i="19"/>
  <c r="H28" i="19"/>
  <c r="H29" i="19"/>
  <c r="H30" i="19"/>
  <c r="H31" i="19"/>
  <c r="H32" i="19"/>
  <c r="H33" i="19"/>
  <c r="D3" i="19"/>
  <c r="D4" i="19"/>
  <c r="D5" i="19"/>
  <c r="D6" i="19"/>
  <c r="D7" i="19"/>
  <c r="D8" i="19"/>
  <c r="D9" i="19"/>
  <c r="D15" i="19"/>
  <c r="D19" i="19"/>
  <c r="D20" i="19"/>
  <c r="D21" i="19"/>
  <c r="D22" i="19"/>
  <c r="D23" i="19"/>
  <c r="D25" i="19"/>
  <c r="D27" i="19"/>
  <c r="D28" i="19"/>
  <c r="D29" i="19"/>
  <c r="D30" i="19"/>
  <c r="D32" i="19"/>
  <c r="D33" i="19"/>
  <c r="D34" i="19"/>
  <c r="D36" i="19"/>
  <c r="D37" i="19"/>
  <c r="D38" i="19"/>
  <c r="H3" i="20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31" i="20"/>
  <c r="H33" i="20"/>
  <c r="H34" i="20"/>
  <c r="H36" i="20"/>
  <c r="H38" i="20"/>
  <c r="H2" i="20"/>
  <c r="D25" i="20"/>
  <c r="D26" i="20"/>
  <c r="D27" i="20"/>
  <c r="D28" i="20"/>
  <c r="D34" i="20"/>
  <c r="D35" i="20"/>
  <c r="D36" i="20"/>
  <c r="D37" i="20"/>
  <c r="D38" i="20"/>
  <c r="H40" i="17"/>
  <c r="H40" i="26" l="1"/>
  <c r="H40" i="20"/>
  <c r="D40" i="20"/>
  <c r="H41" i="19"/>
  <c r="H40" i="25"/>
  <c r="D41" i="19"/>
  <c r="E42" i="19" s="1"/>
  <c r="D40" i="26"/>
  <c r="H38" i="18"/>
  <c r="H37" i="18"/>
  <c r="D37" i="18"/>
  <c r="H36" i="18"/>
  <c r="D36" i="18"/>
  <c r="H35" i="18"/>
  <c r="D35" i="18"/>
  <c r="H34" i="18"/>
  <c r="D34" i="18"/>
  <c r="H33" i="18"/>
  <c r="H32" i="18"/>
  <c r="D32" i="18"/>
  <c r="H31" i="18"/>
  <c r="D31" i="18"/>
  <c r="H30" i="18"/>
  <c r="D30" i="18"/>
  <c r="H29" i="18"/>
  <c r="D29" i="18"/>
  <c r="H28" i="18"/>
  <c r="D28" i="18"/>
  <c r="H27" i="18"/>
  <c r="D27" i="18"/>
  <c r="H26" i="18"/>
  <c r="D26" i="18"/>
  <c r="H25" i="18"/>
  <c r="D25" i="18"/>
  <c r="H24" i="18"/>
  <c r="D24" i="18"/>
  <c r="H23" i="18"/>
  <c r="D23" i="18"/>
  <c r="H22" i="18"/>
  <c r="D22" i="18"/>
  <c r="H21" i="18"/>
  <c r="D21" i="18"/>
  <c r="H20" i="18"/>
  <c r="D20" i="18"/>
  <c r="H19" i="18"/>
  <c r="D19" i="18"/>
  <c r="H18" i="18"/>
  <c r="D18" i="18"/>
  <c r="H17" i="18"/>
  <c r="D17" i="18"/>
  <c r="H16" i="18"/>
  <c r="D16" i="18"/>
  <c r="H15" i="18"/>
  <c r="D15" i="18"/>
  <c r="H14" i="18"/>
  <c r="D14" i="18"/>
  <c r="H13" i="18"/>
  <c r="D13" i="18"/>
  <c r="H12" i="18"/>
  <c r="D12" i="18"/>
  <c r="H11" i="18"/>
  <c r="D11" i="18"/>
  <c r="H10" i="18"/>
  <c r="D10" i="18"/>
  <c r="H9" i="18"/>
  <c r="D9" i="18"/>
  <c r="H8" i="18"/>
  <c r="D8" i="18"/>
  <c r="H7" i="18"/>
  <c r="D7" i="18"/>
  <c r="H6" i="18"/>
  <c r="D6" i="18"/>
  <c r="H5" i="18"/>
  <c r="D5" i="18"/>
  <c r="H4" i="18"/>
  <c r="D4" i="18"/>
  <c r="H3" i="18"/>
  <c r="D3" i="18"/>
  <c r="H2" i="18"/>
  <c r="D2" i="18"/>
  <c r="H38" i="17"/>
  <c r="D38" i="17"/>
  <c r="H37" i="17"/>
  <c r="D37" i="17"/>
  <c r="H36" i="17"/>
  <c r="D36" i="17"/>
  <c r="H35" i="17"/>
  <c r="D35" i="17"/>
  <c r="H34" i="17"/>
  <c r="D34" i="17"/>
  <c r="H33" i="17"/>
  <c r="D33" i="17"/>
  <c r="H32" i="17"/>
  <c r="D32" i="17"/>
  <c r="H31" i="17"/>
  <c r="D31" i="17"/>
  <c r="H30" i="17"/>
  <c r="D30" i="17"/>
  <c r="H29" i="17"/>
  <c r="D29" i="17"/>
  <c r="H28" i="17"/>
  <c r="D28" i="17"/>
  <c r="H27" i="17"/>
  <c r="D27" i="17"/>
  <c r="H26" i="17"/>
  <c r="D26" i="17"/>
  <c r="H25" i="17"/>
  <c r="D25" i="17"/>
  <c r="H24" i="17"/>
  <c r="D24" i="17"/>
  <c r="H23" i="17"/>
  <c r="D23" i="17"/>
  <c r="H22" i="17"/>
  <c r="D22" i="17"/>
  <c r="H21" i="17"/>
  <c r="D21" i="17"/>
  <c r="H20" i="17"/>
  <c r="D20" i="17"/>
  <c r="H19" i="17"/>
  <c r="D19" i="17"/>
  <c r="H18" i="17"/>
  <c r="D18" i="17"/>
  <c r="H17" i="17"/>
  <c r="D17" i="17"/>
  <c r="H16" i="17"/>
  <c r="D16" i="17"/>
  <c r="H15" i="17"/>
  <c r="D15" i="17"/>
  <c r="H14" i="17"/>
  <c r="D14" i="17"/>
  <c r="H13" i="17"/>
  <c r="D13" i="17"/>
  <c r="H12" i="17"/>
  <c r="D12" i="17"/>
  <c r="H11" i="17"/>
  <c r="D11" i="17"/>
  <c r="H10" i="17"/>
  <c r="D10" i="17"/>
  <c r="H9" i="17"/>
  <c r="D9" i="17"/>
  <c r="H8" i="17"/>
  <c r="D8" i="17"/>
  <c r="H7" i="17"/>
  <c r="D7" i="17"/>
  <c r="H6" i="17"/>
  <c r="D6" i="17"/>
  <c r="H5" i="17"/>
  <c r="D5" i="17"/>
  <c r="H4" i="17"/>
  <c r="D4" i="17"/>
  <c r="H3" i="17"/>
  <c r="D3" i="17"/>
  <c r="H2" i="17"/>
  <c r="D2" i="17"/>
  <c r="D40" i="17" s="1"/>
  <c r="H38" i="16"/>
  <c r="D38" i="16"/>
  <c r="H37" i="16"/>
  <c r="D37" i="16"/>
  <c r="H36" i="16"/>
  <c r="D36" i="16"/>
  <c r="H35" i="16"/>
  <c r="D35" i="16"/>
  <c r="H34" i="16"/>
  <c r="D34" i="16"/>
  <c r="H33" i="16"/>
  <c r="D33" i="16"/>
  <c r="H32" i="16"/>
  <c r="D32" i="16"/>
  <c r="H31" i="16"/>
  <c r="D31" i="16"/>
  <c r="H30" i="16"/>
  <c r="D30" i="16"/>
  <c r="H29" i="16"/>
  <c r="D29" i="16"/>
  <c r="H28" i="16"/>
  <c r="D28" i="16"/>
  <c r="H27" i="16"/>
  <c r="D27" i="16"/>
  <c r="H26" i="16"/>
  <c r="D26" i="16"/>
  <c r="H25" i="16"/>
  <c r="D25" i="16"/>
  <c r="H24" i="16"/>
  <c r="D24" i="16"/>
  <c r="H23" i="16"/>
  <c r="D23" i="16"/>
  <c r="H22" i="16"/>
  <c r="D22" i="16"/>
  <c r="H21" i="16"/>
  <c r="D21" i="16"/>
  <c r="H20" i="16"/>
  <c r="D20" i="16"/>
  <c r="H19" i="16"/>
  <c r="D19" i="16"/>
  <c r="H18" i="16"/>
  <c r="D18" i="16"/>
  <c r="H17" i="16"/>
  <c r="D17" i="16"/>
  <c r="H16" i="16"/>
  <c r="D16" i="16"/>
  <c r="H15" i="16"/>
  <c r="D15" i="16"/>
  <c r="H14" i="16"/>
  <c r="D14" i="16"/>
  <c r="H13" i="16"/>
  <c r="D13" i="16"/>
  <c r="H12" i="16"/>
  <c r="D12" i="16"/>
  <c r="H11" i="16"/>
  <c r="D11" i="16"/>
  <c r="H10" i="16"/>
  <c r="D10" i="16"/>
  <c r="H9" i="16"/>
  <c r="D9" i="16"/>
  <c r="H8" i="16"/>
  <c r="D8" i="16"/>
  <c r="H7" i="16"/>
  <c r="D7" i="16"/>
  <c r="H6" i="16"/>
  <c r="D6" i="16"/>
  <c r="H5" i="16"/>
  <c r="D5" i="16"/>
  <c r="H4" i="16"/>
  <c r="D4" i="16"/>
  <c r="H3" i="16"/>
  <c r="D3" i="16"/>
  <c r="H2" i="16"/>
  <c r="D2" i="16"/>
  <c r="H38" i="15"/>
  <c r="D38" i="15"/>
  <c r="H37" i="15"/>
  <c r="D37" i="15"/>
  <c r="H36" i="15"/>
  <c r="D36" i="15"/>
  <c r="H35" i="15"/>
  <c r="D35" i="15"/>
  <c r="H34" i="15"/>
  <c r="D34" i="15"/>
  <c r="H33" i="15"/>
  <c r="D33" i="15"/>
  <c r="H32" i="15"/>
  <c r="D32" i="15"/>
  <c r="H31" i="15"/>
  <c r="D31" i="15"/>
  <c r="H30" i="15"/>
  <c r="D30" i="15"/>
  <c r="H29" i="15"/>
  <c r="D29" i="15"/>
  <c r="H28" i="15"/>
  <c r="D28" i="15"/>
  <c r="H27" i="15"/>
  <c r="D27" i="15"/>
  <c r="H26" i="15"/>
  <c r="D26" i="15"/>
  <c r="H25" i="15"/>
  <c r="D25" i="15"/>
  <c r="H24" i="15"/>
  <c r="D24" i="15"/>
  <c r="H23" i="15"/>
  <c r="D23" i="15"/>
  <c r="H22" i="15"/>
  <c r="D22" i="15"/>
  <c r="H21" i="15"/>
  <c r="D21" i="15"/>
  <c r="H20" i="15"/>
  <c r="D20" i="15"/>
  <c r="H19" i="15"/>
  <c r="D19" i="15"/>
  <c r="H18" i="15"/>
  <c r="D18" i="15"/>
  <c r="H17" i="15"/>
  <c r="D17" i="15"/>
  <c r="H16" i="15"/>
  <c r="D16" i="15"/>
  <c r="H15" i="15"/>
  <c r="D15" i="15"/>
  <c r="H14" i="15"/>
  <c r="D14" i="15"/>
  <c r="H13" i="15"/>
  <c r="D13" i="15"/>
  <c r="H12" i="15"/>
  <c r="D12" i="15"/>
  <c r="H11" i="15"/>
  <c r="D11" i="15"/>
  <c r="H10" i="15"/>
  <c r="D10" i="15"/>
  <c r="H9" i="15"/>
  <c r="D9" i="15"/>
  <c r="H8" i="15"/>
  <c r="D8" i="15"/>
  <c r="H7" i="15"/>
  <c r="D7" i="15"/>
  <c r="H6" i="15"/>
  <c r="D6" i="15"/>
  <c r="H5" i="15"/>
  <c r="D5" i="15"/>
  <c r="H4" i="15"/>
  <c r="D4" i="15"/>
  <c r="H3" i="15"/>
  <c r="D3" i="15"/>
  <c r="H3" i="6"/>
  <c r="H4" i="6"/>
  <c r="H5" i="6"/>
  <c r="H6" i="6"/>
  <c r="H7" i="6"/>
  <c r="H8" i="6"/>
  <c r="H9" i="6"/>
  <c r="H10" i="6"/>
  <c r="H11" i="6"/>
  <c r="H12" i="6"/>
  <c r="H13" i="6"/>
  <c r="H14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6" i="6"/>
  <c r="H37" i="6"/>
  <c r="H38" i="6"/>
  <c r="H2" i="6"/>
  <c r="D37" i="5"/>
  <c r="H37" i="5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2" i="14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2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H38" i="12"/>
  <c r="D38" i="12"/>
  <c r="H37" i="12"/>
  <c r="D37" i="12"/>
  <c r="H36" i="12"/>
  <c r="D36" i="12"/>
  <c r="H35" i="12"/>
  <c r="D35" i="12"/>
  <c r="H34" i="12"/>
  <c r="D34" i="12"/>
  <c r="H33" i="12"/>
  <c r="D33" i="12"/>
  <c r="H32" i="12"/>
  <c r="D32" i="12"/>
  <c r="H31" i="12"/>
  <c r="D31" i="12"/>
  <c r="H30" i="12"/>
  <c r="D30" i="12"/>
  <c r="H29" i="12"/>
  <c r="D29" i="12"/>
  <c r="H28" i="12"/>
  <c r="D28" i="12"/>
  <c r="H27" i="12"/>
  <c r="D27" i="12"/>
  <c r="H26" i="12"/>
  <c r="D26" i="12"/>
  <c r="H25" i="12"/>
  <c r="D25" i="12"/>
  <c r="H24" i="12"/>
  <c r="D24" i="12"/>
  <c r="H23" i="12"/>
  <c r="D23" i="12"/>
  <c r="H22" i="12"/>
  <c r="D22" i="12"/>
  <c r="H21" i="12"/>
  <c r="D21" i="12"/>
  <c r="H20" i="12"/>
  <c r="D20" i="12"/>
  <c r="H19" i="12"/>
  <c r="D19" i="12"/>
  <c r="H18" i="12"/>
  <c r="D18" i="12"/>
  <c r="H17" i="12"/>
  <c r="D17" i="12"/>
  <c r="H16" i="12"/>
  <c r="D16" i="12"/>
  <c r="H15" i="12"/>
  <c r="D15" i="12"/>
  <c r="H14" i="12"/>
  <c r="D14" i="12"/>
  <c r="H13" i="12"/>
  <c r="D13" i="12"/>
  <c r="H12" i="12"/>
  <c r="D12" i="12"/>
  <c r="H11" i="12"/>
  <c r="D11" i="12"/>
  <c r="H10" i="12"/>
  <c r="D10" i="12"/>
  <c r="H9" i="12"/>
  <c r="D9" i="12"/>
  <c r="H8" i="12"/>
  <c r="D8" i="12"/>
  <c r="H7" i="12"/>
  <c r="D7" i="12"/>
  <c r="H6" i="12"/>
  <c r="D6" i="12"/>
  <c r="H5" i="12"/>
  <c r="D5" i="12"/>
  <c r="H4" i="12"/>
  <c r="D4" i="12"/>
  <c r="H3" i="12"/>
  <c r="D3" i="12"/>
  <c r="H2" i="12"/>
  <c r="D2" i="12"/>
  <c r="H38" i="11"/>
  <c r="D38" i="11"/>
  <c r="H37" i="11"/>
  <c r="D37" i="11"/>
  <c r="H36" i="11"/>
  <c r="D36" i="11"/>
  <c r="H35" i="11"/>
  <c r="D35" i="11"/>
  <c r="H34" i="11"/>
  <c r="D34" i="11"/>
  <c r="H33" i="11"/>
  <c r="D33" i="11"/>
  <c r="H32" i="11"/>
  <c r="D32" i="11"/>
  <c r="H31" i="11"/>
  <c r="D31" i="11"/>
  <c r="H30" i="11"/>
  <c r="D30" i="11"/>
  <c r="H29" i="11"/>
  <c r="D29" i="11"/>
  <c r="H28" i="11"/>
  <c r="D28" i="11"/>
  <c r="H27" i="11"/>
  <c r="D27" i="11"/>
  <c r="H26" i="11"/>
  <c r="D26" i="11"/>
  <c r="H25" i="11"/>
  <c r="D25" i="11"/>
  <c r="H24" i="11"/>
  <c r="D24" i="11"/>
  <c r="H23" i="11"/>
  <c r="D23" i="11"/>
  <c r="H22" i="11"/>
  <c r="D22" i="11"/>
  <c r="H21" i="11"/>
  <c r="D21" i="11"/>
  <c r="H20" i="11"/>
  <c r="D20" i="11"/>
  <c r="H19" i="11"/>
  <c r="D19" i="11"/>
  <c r="H18" i="11"/>
  <c r="D18" i="11"/>
  <c r="H17" i="11"/>
  <c r="D17" i="11"/>
  <c r="H16" i="11"/>
  <c r="D16" i="11"/>
  <c r="H15" i="11"/>
  <c r="D15" i="11"/>
  <c r="H14" i="11"/>
  <c r="D14" i="11"/>
  <c r="H13" i="11"/>
  <c r="D13" i="11"/>
  <c r="H12" i="11"/>
  <c r="D12" i="11"/>
  <c r="H11" i="11"/>
  <c r="D11" i="11"/>
  <c r="H10" i="11"/>
  <c r="D10" i="11"/>
  <c r="H9" i="11"/>
  <c r="D9" i="11"/>
  <c r="H8" i="11"/>
  <c r="D8" i="11"/>
  <c r="H7" i="11"/>
  <c r="D7" i="11"/>
  <c r="H6" i="11"/>
  <c r="D6" i="11"/>
  <c r="H5" i="11"/>
  <c r="D5" i="11"/>
  <c r="H4" i="11"/>
  <c r="D4" i="11"/>
  <c r="H3" i="11"/>
  <c r="D3" i="11"/>
  <c r="H2" i="11"/>
  <c r="D2" i="11"/>
  <c r="H38" i="10"/>
  <c r="D38" i="10"/>
  <c r="H37" i="10"/>
  <c r="D37" i="10"/>
  <c r="H36" i="10"/>
  <c r="D36" i="10"/>
  <c r="H35" i="10"/>
  <c r="D35" i="10"/>
  <c r="H34" i="10"/>
  <c r="D34" i="10"/>
  <c r="H33" i="10"/>
  <c r="D33" i="10"/>
  <c r="H32" i="10"/>
  <c r="D32" i="10"/>
  <c r="H31" i="10"/>
  <c r="D31" i="10"/>
  <c r="H30" i="10"/>
  <c r="D30" i="10"/>
  <c r="H29" i="10"/>
  <c r="D29" i="10"/>
  <c r="H28" i="10"/>
  <c r="D28" i="10"/>
  <c r="H27" i="10"/>
  <c r="D27" i="10"/>
  <c r="H26" i="10"/>
  <c r="D26" i="10"/>
  <c r="H25" i="10"/>
  <c r="D25" i="10"/>
  <c r="H24" i="10"/>
  <c r="D24" i="10"/>
  <c r="H23" i="10"/>
  <c r="D23" i="10"/>
  <c r="H22" i="10"/>
  <c r="D22" i="10"/>
  <c r="H21" i="10"/>
  <c r="D21" i="10"/>
  <c r="H20" i="10"/>
  <c r="D20" i="10"/>
  <c r="H19" i="10"/>
  <c r="D19" i="10"/>
  <c r="H18" i="10"/>
  <c r="D18" i="10"/>
  <c r="H17" i="10"/>
  <c r="D17" i="10"/>
  <c r="H16" i="10"/>
  <c r="D16" i="10"/>
  <c r="H15" i="10"/>
  <c r="D15" i="10"/>
  <c r="H14" i="10"/>
  <c r="D14" i="10"/>
  <c r="H13" i="10"/>
  <c r="D13" i="10"/>
  <c r="H12" i="10"/>
  <c r="D12" i="10"/>
  <c r="H11" i="10"/>
  <c r="D11" i="10"/>
  <c r="H10" i="10"/>
  <c r="D10" i="10"/>
  <c r="H9" i="10"/>
  <c r="D9" i="10"/>
  <c r="H8" i="10"/>
  <c r="D8" i="10"/>
  <c r="H7" i="10"/>
  <c r="D7" i="10"/>
  <c r="H6" i="10"/>
  <c r="D6" i="10"/>
  <c r="H5" i="10"/>
  <c r="D5" i="10"/>
  <c r="H4" i="10"/>
  <c r="D4" i="10"/>
  <c r="H3" i="10"/>
  <c r="D3" i="10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2" i="6"/>
  <c r="H3" i="5"/>
  <c r="H2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8" i="5"/>
  <c r="D36" i="5"/>
  <c r="D38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2" i="5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2" i="3"/>
  <c r="H3" i="1"/>
  <c r="D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E41" i="26" l="1"/>
  <c r="E41" i="20"/>
  <c r="D40" i="13"/>
  <c r="F41" i="13"/>
  <c r="F42" i="13" s="1"/>
  <c r="F43" i="13" s="1"/>
  <c r="D40" i="5"/>
  <c r="H40" i="13"/>
  <c r="H40" i="3"/>
  <c r="H40" i="12"/>
  <c r="D40" i="12"/>
  <c r="D40" i="14"/>
  <c r="D41" i="14" s="1"/>
  <c r="D40" i="3"/>
  <c r="E41" i="3" s="1"/>
  <c r="D40" i="6"/>
  <c r="H40" i="6"/>
  <c r="H41" i="6" s="1"/>
  <c r="H41" i="1"/>
  <c r="D41" i="1"/>
  <c r="E42" i="1" s="1"/>
  <c r="H41" i="15"/>
  <c r="H40" i="16"/>
  <c r="D40" i="16"/>
  <c r="H40" i="18"/>
  <c r="H41" i="18" s="1"/>
  <c r="D40" i="18"/>
  <c r="D41" i="15"/>
  <c r="H40" i="5"/>
  <c r="H40" i="11"/>
  <c r="D40" i="11"/>
  <c r="E41" i="11" s="1"/>
  <c r="H41" i="10"/>
  <c r="D41" i="10"/>
  <c r="F42" i="6" l="1"/>
  <c r="E41" i="5"/>
  <c r="E42" i="12"/>
  <c r="E41" i="16"/>
  <c r="E42" i="10"/>
  <c r="E42" i="15"/>
  <c r="F42" i="18"/>
  <c r="E41" i="17"/>
</calcChain>
</file>

<file path=xl/sharedStrings.xml><?xml version="1.0" encoding="utf-8"?>
<sst xmlns="http://schemas.openxmlformats.org/spreadsheetml/2006/main" count="1318" uniqueCount="835">
  <si>
    <t>商品名</t>
    <rPh sb="0" eb="3">
      <t>ショウヒンメイ</t>
    </rPh>
    <phoneticPr fontId="1"/>
  </si>
  <si>
    <t>個数・ｇ・ｍｌ</t>
    <rPh sb="0" eb="2">
      <t>コスウ</t>
    </rPh>
    <phoneticPr fontId="1"/>
  </si>
  <si>
    <r>
      <t>棚卸リスト　　　</t>
    </r>
    <r>
      <rPr>
        <sz val="10"/>
        <color theme="1"/>
        <rFont val="HGPｺﾞｼｯｸE"/>
        <family val="3"/>
        <charset val="128"/>
      </rPr>
      <t>日付　２０２６年5月　　日　店舗名　　　　　　　　　　記入者　　　</t>
    </r>
    <rPh sb="0" eb="2">
      <t>タナオロシ</t>
    </rPh>
    <rPh sb="8" eb="10">
      <t>ヒヅケ</t>
    </rPh>
    <rPh sb="15" eb="16">
      <t>ネン</t>
    </rPh>
    <rPh sb="17" eb="18">
      <t>ガツ</t>
    </rPh>
    <rPh sb="20" eb="21">
      <t>ニチ</t>
    </rPh>
    <rPh sb="22" eb="24">
      <t>テンポ</t>
    </rPh>
    <rPh sb="24" eb="25">
      <t>メイ</t>
    </rPh>
    <rPh sb="35" eb="38">
      <t>キニュウシャ</t>
    </rPh>
    <phoneticPr fontId="1"/>
  </si>
  <si>
    <t>単価</t>
    <rPh sb="0" eb="2">
      <t>タンカ</t>
    </rPh>
    <phoneticPr fontId="1"/>
  </si>
  <si>
    <t>原価</t>
    <rPh sb="0" eb="2">
      <t>ゲンカ</t>
    </rPh>
    <phoneticPr fontId="1"/>
  </si>
  <si>
    <t>片栗粉1kg</t>
    <rPh sb="0" eb="3">
      <t>カタクリコ</t>
    </rPh>
    <phoneticPr fontId="1"/>
  </si>
  <si>
    <t>鶏もも肉（奥三河）</t>
  </si>
  <si>
    <t>強力粉（ゆめちから）1kg</t>
    <phoneticPr fontId="1"/>
  </si>
  <si>
    <t>豚ロース肉1P</t>
    <rPh sb="0" eb="1">
      <t>ブタ</t>
    </rPh>
    <rPh sb="4" eb="5">
      <t>ニク</t>
    </rPh>
    <phoneticPr fontId="1"/>
  </si>
  <si>
    <t>チーズ（スライス）7枚入</t>
    <rPh sb="10" eb="11">
      <t>マイ</t>
    </rPh>
    <rPh sb="11" eb="12">
      <t>イ</t>
    </rPh>
    <phoneticPr fontId="1"/>
  </si>
  <si>
    <t>キハダマグロ（切落し）</t>
    <rPh sb="7" eb="9">
      <t>キリオト</t>
    </rPh>
    <phoneticPr fontId="1"/>
  </si>
  <si>
    <t>チーズ（ピザ用）220ｇ</t>
    <rPh sb="6" eb="7">
      <t>ヨウ</t>
    </rPh>
    <phoneticPr fontId="1"/>
  </si>
  <si>
    <t>白レバー</t>
    <rPh sb="0" eb="1">
      <t>シロ</t>
    </rPh>
    <phoneticPr fontId="1"/>
  </si>
  <si>
    <t>モッツァレラチーズ100ｇ</t>
    <phoneticPr fontId="1"/>
  </si>
  <si>
    <t>鯛</t>
    <rPh sb="0" eb="1">
      <t>タイ</t>
    </rPh>
    <phoneticPr fontId="1"/>
  </si>
  <si>
    <t>牛乳1L</t>
    <rPh sb="0" eb="2">
      <t>ギュウニュウ</t>
    </rPh>
    <phoneticPr fontId="1"/>
  </si>
  <si>
    <t>鶏ハツ串</t>
    <rPh sb="0" eb="1">
      <t>トリ</t>
    </rPh>
    <rPh sb="3" eb="4">
      <t>クシ</t>
    </rPh>
    <phoneticPr fontId="1"/>
  </si>
  <si>
    <t>カマンベールチーズ</t>
    <phoneticPr fontId="1"/>
  </si>
  <si>
    <t>錦爽どりモモ肉</t>
    <rPh sb="0" eb="1">
      <t>ニシキ</t>
    </rPh>
    <rPh sb="1" eb="2">
      <t>ソウ</t>
    </rPh>
    <rPh sb="6" eb="7">
      <t>ニク</t>
    </rPh>
    <phoneticPr fontId="1"/>
  </si>
  <si>
    <t>サニーレタス</t>
    <phoneticPr fontId="1"/>
  </si>
  <si>
    <t>錦爽どりムネ肉</t>
    <rPh sb="0" eb="1">
      <t>ニシキ</t>
    </rPh>
    <rPh sb="1" eb="2">
      <t>ソウ</t>
    </rPh>
    <rPh sb="6" eb="7">
      <t>ニク</t>
    </rPh>
    <phoneticPr fontId="1"/>
  </si>
  <si>
    <t>ミニトマト（４切り）</t>
    <rPh sb="7" eb="8">
      <t>キ</t>
    </rPh>
    <phoneticPr fontId="1"/>
  </si>
  <si>
    <t>錦爽どり皮</t>
    <rPh sb="0" eb="1">
      <t>ニシキ</t>
    </rPh>
    <rPh sb="1" eb="2">
      <t>ソウ</t>
    </rPh>
    <rPh sb="4" eb="5">
      <t>カワ</t>
    </rPh>
    <phoneticPr fontId="1"/>
  </si>
  <si>
    <t>ニラ</t>
    <phoneticPr fontId="1"/>
  </si>
  <si>
    <t>コーチンモモ肉</t>
    <rPh sb="6" eb="7">
      <t>ニク</t>
    </rPh>
    <phoneticPr fontId="1"/>
  </si>
  <si>
    <t>白ねぎ（みじん切り）</t>
    <rPh sb="0" eb="1">
      <t>シロ</t>
    </rPh>
    <rPh sb="7" eb="8">
      <t>ギ</t>
    </rPh>
    <phoneticPr fontId="1"/>
  </si>
  <si>
    <t>コーチン手羽先</t>
    <rPh sb="4" eb="7">
      <t>テバサキ</t>
    </rPh>
    <phoneticPr fontId="1"/>
  </si>
  <si>
    <t>青ねぎ</t>
    <rPh sb="0" eb="1">
      <t>アオ</t>
    </rPh>
    <phoneticPr fontId="1"/>
  </si>
  <si>
    <t>砂肝（奥三河）</t>
    <rPh sb="0" eb="2">
      <t>スナギモ</t>
    </rPh>
    <rPh sb="3" eb="6">
      <t>オクミカワ</t>
    </rPh>
    <phoneticPr fontId="1"/>
  </si>
  <si>
    <t>白髪ねぎ</t>
    <rPh sb="0" eb="2">
      <t>シラガ</t>
    </rPh>
    <phoneticPr fontId="1"/>
  </si>
  <si>
    <t>鶏のムネたたき（種鶏）</t>
    <rPh sb="0" eb="1">
      <t>トリ</t>
    </rPh>
    <rPh sb="8" eb="9">
      <t>タネ</t>
    </rPh>
    <rPh sb="9" eb="10">
      <t>トリ</t>
    </rPh>
    <phoneticPr fontId="1"/>
  </si>
  <si>
    <t>キャベツ</t>
    <phoneticPr fontId="1"/>
  </si>
  <si>
    <t>合鴨ローススモーク</t>
    <phoneticPr fontId="1"/>
  </si>
  <si>
    <t>揚げねぎ（白髪ねぎ）</t>
    <rPh sb="0" eb="1">
      <t>ア</t>
    </rPh>
    <rPh sb="5" eb="7">
      <t>シラガ</t>
    </rPh>
    <phoneticPr fontId="1"/>
  </si>
  <si>
    <t>貝柱</t>
    <rPh sb="0" eb="2">
      <t>カイバシラ</t>
    </rPh>
    <phoneticPr fontId="1"/>
  </si>
  <si>
    <t>アボカド1個</t>
    <rPh sb="5" eb="6">
      <t>コ</t>
    </rPh>
    <phoneticPr fontId="1"/>
  </si>
  <si>
    <t>鶏首皮串</t>
    <rPh sb="0" eb="1">
      <t>トリ</t>
    </rPh>
    <rPh sb="1" eb="2">
      <t>クビ</t>
    </rPh>
    <rPh sb="2" eb="3">
      <t>カワ</t>
    </rPh>
    <rPh sb="3" eb="4">
      <t>クシ</t>
    </rPh>
    <phoneticPr fontId="1"/>
  </si>
  <si>
    <t>ピーマン</t>
    <phoneticPr fontId="1"/>
  </si>
  <si>
    <t>活〆真ダイ</t>
    <rPh sb="0" eb="1">
      <t>カツ</t>
    </rPh>
    <rPh sb="2" eb="3">
      <t>マ</t>
    </rPh>
    <phoneticPr fontId="1"/>
  </si>
  <si>
    <t>もやし</t>
    <phoneticPr fontId="1"/>
  </si>
  <si>
    <t>生ほたるいか</t>
    <rPh sb="0" eb="1">
      <t>ナマ</t>
    </rPh>
    <phoneticPr fontId="1"/>
  </si>
  <si>
    <t>かいわれ</t>
    <phoneticPr fontId="1"/>
  </si>
  <si>
    <t>玉ねぎ（くし切り）3玉</t>
  </si>
  <si>
    <t>トロカツオタタキ</t>
    <phoneticPr fontId="1"/>
  </si>
  <si>
    <t>玉ねぎ（粗みじん切り）</t>
    <rPh sb="0" eb="1">
      <t>タマ</t>
    </rPh>
    <rPh sb="4" eb="5">
      <t>アラ</t>
    </rPh>
    <rPh sb="8" eb="9">
      <t>ギ</t>
    </rPh>
    <phoneticPr fontId="1"/>
  </si>
  <si>
    <t>ハツ串</t>
    <rPh sb="2" eb="3">
      <t>クシ</t>
    </rPh>
    <phoneticPr fontId="1"/>
  </si>
  <si>
    <t>玉ねぎ（スライス）</t>
    <rPh sb="0" eb="1">
      <t>タマ</t>
    </rPh>
    <phoneticPr fontId="1"/>
  </si>
  <si>
    <t>ハツ元串</t>
    <rPh sb="2" eb="3">
      <t>モト</t>
    </rPh>
    <rPh sb="3" eb="4">
      <t>クシ</t>
    </rPh>
    <phoneticPr fontId="1"/>
  </si>
  <si>
    <t>淡路島玉葱（くし切り）</t>
    <rPh sb="0" eb="5">
      <t>アワジシマタマネギ</t>
    </rPh>
    <rPh sb="8" eb="9">
      <t>ギ</t>
    </rPh>
    <phoneticPr fontId="1"/>
  </si>
  <si>
    <t>せせり串</t>
    <rPh sb="3" eb="4">
      <t>クシ</t>
    </rPh>
    <phoneticPr fontId="1"/>
  </si>
  <si>
    <t>じゃがいも</t>
    <phoneticPr fontId="1"/>
  </si>
  <si>
    <t>砂肝串</t>
    <rPh sb="0" eb="2">
      <t>スナギモ</t>
    </rPh>
    <rPh sb="2" eb="3">
      <t>クシ</t>
    </rPh>
    <phoneticPr fontId="1"/>
  </si>
  <si>
    <t>きゅうり（輪切）３本</t>
    <rPh sb="5" eb="7">
      <t>ワギ</t>
    </rPh>
    <rPh sb="9" eb="10">
      <t>ホン</t>
    </rPh>
    <phoneticPr fontId="1"/>
  </si>
  <si>
    <t>釜あげほたるいか</t>
    <rPh sb="0" eb="1">
      <t>カマ</t>
    </rPh>
    <phoneticPr fontId="1"/>
  </si>
  <si>
    <t>水菜</t>
    <rPh sb="0" eb="2">
      <t>ミズナ</t>
    </rPh>
    <phoneticPr fontId="1"/>
  </si>
  <si>
    <t>豚バラスライス（冷凍）</t>
    <rPh sb="8" eb="10">
      <t>レイトウ</t>
    </rPh>
    <phoneticPr fontId="1"/>
  </si>
  <si>
    <t>トマト</t>
    <phoneticPr fontId="1"/>
  </si>
  <si>
    <t>ベーコンスライス</t>
    <phoneticPr fontId="1"/>
  </si>
  <si>
    <t>椎茸（薄切り）</t>
    <rPh sb="0" eb="2">
      <t>シイタケ</t>
    </rPh>
    <rPh sb="3" eb="5">
      <t>ウスギ</t>
    </rPh>
    <phoneticPr fontId="1"/>
  </si>
  <si>
    <t>海老（バナメイ殻付）</t>
    <rPh sb="7" eb="8">
      <t>カラ</t>
    </rPh>
    <rPh sb="8" eb="9">
      <t>ツキ</t>
    </rPh>
    <phoneticPr fontId="1"/>
  </si>
  <si>
    <t>生姜</t>
    <rPh sb="0" eb="2">
      <t>ショウガ</t>
    </rPh>
    <phoneticPr fontId="1"/>
  </si>
  <si>
    <t>かき（冷凍）</t>
    <rPh sb="3" eb="5">
      <t>レイトウ</t>
    </rPh>
    <phoneticPr fontId="1"/>
  </si>
  <si>
    <t>しめじ</t>
    <phoneticPr fontId="1"/>
  </si>
  <si>
    <t>ヤゲン軟骨串</t>
    <rPh sb="3" eb="6">
      <t>ナンコツクシ</t>
    </rPh>
    <phoneticPr fontId="1"/>
  </si>
  <si>
    <t>長いも</t>
    <rPh sb="0" eb="1">
      <t>ナガ</t>
    </rPh>
    <phoneticPr fontId="1"/>
  </si>
  <si>
    <t>鶏モモ切身（ブラジル産）</t>
    <rPh sb="0" eb="1">
      <t>トリ</t>
    </rPh>
    <rPh sb="3" eb="5">
      <t>キリミ</t>
    </rPh>
    <rPh sb="10" eb="11">
      <t>サン</t>
    </rPh>
    <phoneticPr fontId="1"/>
  </si>
  <si>
    <t>ホルモン（牛）</t>
    <phoneticPr fontId="1"/>
  </si>
  <si>
    <t>ごま油</t>
    <phoneticPr fontId="1"/>
  </si>
  <si>
    <t>豚バラスライス1P</t>
    <phoneticPr fontId="1"/>
  </si>
  <si>
    <t>ラー油</t>
  </si>
  <si>
    <t>豚ミンチ（マルト）</t>
    <phoneticPr fontId="1"/>
  </si>
  <si>
    <t>鴨ラード2kg</t>
    <phoneticPr fontId="1"/>
  </si>
  <si>
    <t>合鴨1kg</t>
    <phoneticPr fontId="1"/>
  </si>
  <si>
    <t>サラダ油</t>
  </si>
  <si>
    <t>海老（冷凍）天然むきえび500g</t>
    <rPh sb="3" eb="5">
      <t>レイトウ</t>
    </rPh>
    <rPh sb="6" eb="8">
      <t>テンネン</t>
    </rPh>
    <phoneticPr fontId="1"/>
  </si>
  <si>
    <t>オリーブオイル</t>
    <phoneticPr fontId="1"/>
  </si>
  <si>
    <t>４店舗合計</t>
    <rPh sb="1" eb="3">
      <t>テンポ</t>
    </rPh>
    <rPh sb="3" eb="5">
      <t>ゴウケイ</t>
    </rPh>
    <phoneticPr fontId="1"/>
  </si>
  <si>
    <t>個数</t>
    <rPh sb="0" eb="2">
      <t>コスウ</t>
    </rPh>
    <phoneticPr fontId="1"/>
  </si>
  <si>
    <t>鶏油（缶）</t>
    <rPh sb="0" eb="1">
      <t>トリ</t>
    </rPh>
    <rPh sb="1" eb="2">
      <t>アブラ</t>
    </rPh>
    <rPh sb="3" eb="4">
      <t>カン</t>
    </rPh>
    <phoneticPr fontId="1"/>
  </si>
  <si>
    <t>創味　料理つゆ</t>
    <rPh sb="0" eb="2">
      <t>ソウミ</t>
    </rPh>
    <rPh sb="3" eb="5">
      <t>リョウリ</t>
    </rPh>
    <phoneticPr fontId="1"/>
  </si>
  <si>
    <t>大豆白絞油（缶）</t>
    <rPh sb="0" eb="2">
      <t>ダイズ</t>
    </rPh>
    <rPh sb="2" eb="3">
      <t>シロ</t>
    </rPh>
    <rPh sb="3" eb="4">
      <t>シボ</t>
    </rPh>
    <rPh sb="4" eb="5">
      <t>アブラ</t>
    </rPh>
    <rPh sb="6" eb="7">
      <t>カン</t>
    </rPh>
    <phoneticPr fontId="1"/>
  </si>
  <si>
    <t>黒酢</t>
    <rPh sb="0" eb="2">
      <t>クロズ</t>
    </rPh>
    <phoneticPr fontId="1"/>
  </si>
  <si>
    <t>上白糖</t>
    <phoneticPr fontId="1"/>
  </si>
  <si>
    <t>カンタン酢</t>
    <rPh sb="4" eb="5">
      <t>ス</t>
    </rPh>
    <phoneticPr fontId="1"/>
  </si>
  <si>
    <t>鶏がら500g</t>
    <phoneticPr fontId="1"/>
  </si>
  <si>
    <t>マスタード</t>
    <phoneticPr fontId="1"/>
  </si>
  <si>
    <t>濃口醤油</t>
  </si>
  <si>
    <t>ベイリーブス（ホール）</t>
    <phoneticPr fontId="1"/>
  </si>
  <si>
    <t>みりん</t>
  </si>
  <si>
    <t>ホクレン　甜菜糖</t>
    <rPh sb="5" eb="8">
      <t>テンサイトウ</t>
    </rPh>
    <phoneticPr fontId="1"/>
  </si>
  <si>
    <t>おろしにんにく</t>
  </si>
  <si>
    <t>八丁味噌</t>
    <rPh sb="0" eb="4">
      <t>ハッチョウミソ</t>
    </rPh>
    <phoneticPr fontId="1"/>
  </si>
  <si>
    <t>おろししょうが</t>
  </si>
  <si>
    <t>馬刺醤油</t>
    <rPh sb="0" eb="2">
      <t>バサ</t>
    </rPh>
    <rPh sb="2" eb="4">
      <t>ショウユ</t>
    </rPh>
    <phoneticPr fontId="1"/>
  </si>
  <si>
    <t>豆板醤</t>
  </si>
  <si>
    <t>から揚げ漬け込みだれ</t>
    <rPh sb="2" eb="3">
      <t>ア</t>
    </rPh>
    <rPh sb="4" eb="5">
      <t>ツ</t>
    </rPh>
    <rPh sb="6" eb="7">
      <t>コ</t>
    </rPh>
    <phoneticPr fontId="1"/>
  </si>
  <si>
    <t>甜麺醤</t>
  </si>
  <si>
    <t>京一味</t>
    <rPh sb="0" eb="1">
      <t>キョウ</t>
    </rPh>
    <rPh sb="1" eb="3">
      <t>イチミ</t>
    </rPh>
    <phoneticPr fontId="1"/>
  </si>
  <si>
    <t>コチュジャン</t>
  </si>
  <si>
    <t>一味唐辛子1kg</t>
    <rPh sb="0" eb="5">
      <t>イチミトウガラシ</t>
    </rPh>
    <phoneticPr fontId="1"/>
  </si>
  <si>
    <t>赤味噌</t>
  </si>
  <si>
    <t>万能薫製のたれ</t>
    <rPh sb="0" eb="2">
      <t>バンノウ</t>
    </rPh>
    <rPh sb="2" eb="4">
      <t>クンセイ</t>
    </rPh>
    <phoneticPr fontId="1"/>
  </si>
  <si>
    <t>料理酒</t>
  </si>
  <si>
    <t>料亭白だし</t>
    <rPh sb="0" eb="2">
      <t>リョウテイ</t>
    </rPh>
    <rPh sb="2" eb="3">
      <t>シロ</t>
    </rPh>
    <phoneticPr fontId="1"/>
  </si>
  <si>
    <t>塩</t>
  </si>
  <si>
    <t>赤ワイン（ダークホース）</t>
    <rPh sb="0" eb="1">
      <t>アカ</t>
    </rPh>
    <phoneticPr fontId="1"/>
  </si>
  <si>
    <t>薄口醤油</t>
  </si>
  <si>
    <t>手羽唐のたれ</t>
    <rPh sb="0" eb="3">
      <t>テバカラ</t>
    </rPh>
    <phoneticPr fontId="1"/>
  </si>
  <si>
    <t>味の素</t>
  </si>
  <si>
    <t>無縁バター　</t>
    <rPh sb="0" eb="2">
      <t>ムエン</t>
    </rPh>
    <phoneticPr fontId="1"/>
  </si>
  <si>
    <t>シャンタン500g</t>
    <phoneticPr fontId="1"/>
  </si>
  <si>
    <t>有塩バター</t>
    <rPh sb="0" eb="2">
      <t>ユウエン</t>
    </rPh>
    <phoneticPr fontId="1"/>
  </si>
  <si>
    <t>マヨネーズ　</t>
  </si>
  <si>
    <t>糸唐辛子100g</t>
    <phoneticPr fontId="1"/>
  </si>
  <si>
    <t>チリソース</t>
  </si>
  <si>
    <t>パプリカパウダー</t>
  </si>
  <si>
    <t>マンゴーソース</t>
  </si>
  <si>
    <t>穂紫蘇</t>
  </si>
  <si>
    <t>食べるラー油</t>
  </si>
  <si>
    <t>ブラックペッパー（ホール）400g</t>
    <phoneticPr fontId="1"/>
  </si>
  <si>
    <t>山椒（パウダー）</t>
  </si>
  <si>
    <t>フライドオニオン250g</t>
    <phoneticPr fontId="1"/>
  </si>
  <si>
    <t>山椒（ホール）</t>
  </si>
  <si>
    <t>エビトマトクリーム120g</t>
    <phoneticPr fontId="1"/>
  </si>
  <si>
    <t>レモン汁</t>
  </si>
  <si>
    <t>フライドニンニク</t>
  </si>
  <si>
    <t>韓国一味</t>
  </si>
  <si>
    <t>柚子胡椒135g</t>
    <phoneticPr fontId="1"/>
  </si>
  <si>
    <t>ケチャップ</t>
  </si>
  <si>
    <t>塩昆布</t>
  </si>
  <si>
    <t>酢</t>
  </si>
  <si>
    <t>花椒（ホール）100g</t>
    <phoneticPr fontId="1"/>
  </si>
  <si>
    <t>白ごま１ｋｇ</t>
  </si>
  <si>
    <t>からし300g</t>
    <phoneticPr fontId="1"/>
  </si>
  <si>
    <t>ブラックペッパー（パウダー）</t>
  </si>
  <si>
    <t>バジル</t>
  </si>
  <si>
    <t>鷹の爪（輪切り）1kg</t>
    <phoneticPr fontId="1"/>
  </si>
  <si>
    <t>蜂蜜</t>
  </si>
  <si>
    <t>琉球醤油</t>
  </si>
  <si>
    <t>パセリ</t>
    <phoneticPr fontId="1"/>
  </si>
  <si>
    <t>擦りごま</t>
  </si>
  <si>
    <t>木の芽</t>
    <rPh sb="0" eb="1">
      <t>キ</t>
    </rPh>
    <rPh sb="2" eb="3">
      <t>メ</t>
    </rPh>
    <phoneticPr fontId="1"/>
  </si>
  <si>
    <t>ポン酢</t>
  </si>
  <si>
    <t>糸かつお100g</t>
    <phoneticPr fontId="1"/>
  </si>
  <si>
    <t>塩麹</t>
  </si>
  <si>
    <t>花かつお</t>
    <phoneticPr fontId="1"/>
  </si>
  <si>
    <t>粒マスタード</t>
  </si>
  <si>
    <t>一味</t>
    <rPh sb="0" eb="2">
      <t>イチミ</t>
    </rPh>
    <phoneticPr fontId="1"/>
  </si>
  <si>
    <t>花椒（パウダー）65g</t>
    <phoneticPr fontId="1"/>
  </si>
  <si>
    <t>わさび43ｇ</t>
    <phoneticPr fontId="1"/>
  </si>
  <si>
    <t>創味　塩だれ</t>
    <rPh sb="0" eb="2">
      <t>ソウミ</t>
    </rPh>
    <phoneticPr fontId="1"/>
  </si>
  <si>
    <t>スライスチーズ　7枚入り</t>
    <rPh sb="9" eb="10">
      <t>マイ</t>
    </rPh>
    <rPh sb="10" eb="11">
      <t>イ</t>
    </rPh>
    <phoneticPr fontId="1"/>
  </si>
  <si>
    <t>卵１０個</t>
    <rPh sb="3" eb="4">
      <t>コ</t>
    </rPh>
    <phoneticPr fontId="1"/>
  </si>
  <si>
    <t>冷凍ラーメン5入</t>
    <rPh sb="0" eb="2">
      <t>レイトウ</t>
    </rPh>
    <rPh sb="7" eb="8">
      <t>イ</t>
    </rPh>
    <phoneticPr fontId="1"/>
  </si>
  <si>
    <t>卵（名古屋コーチン）</t>
  </si>
  <si>
    <t>味付もやし1.2ｋｇ</t>
    <rPh sb="0" eb="2">
      <t>アジツ</t>
    </rPh>
    <phoneticPr fontId="1"/>
  </si>
  <si>
    <t>無洗米</t>
    <rPh sb="0" eb="3">
      <t>ムセンマイ</t>
    </rPh>
    <phoneticPr fontId="1"/>
  </si>
  <si>
    <t>にんにくの実</t>
    <rPh sb="5" eb="6">
      <t>ミ</t>
    </rPh>
    <phoneticPr fontId="1"/>
  </si>
  <si>
    <t>韓国海苔</t>
  </si>
  <si>
    <t>しめさば</t>
    <phoneticPr fontId="1"/>
  </si>
  <si>
    <t>台湾ミンチ1ｋｇ</t>
    <phoneticPr fontId="1"/>
  </si>
  <si>
    <t>かぼちゃのそぼろ煮</t>
    <rPh sb="8" eb="9">
      <t>ニ</t>
    </rPh>
    <phoneticPr fontId="1"/>
  </si>
  <si>
    <t>アボガドソース500ｇ</t>
    <phoneticPr fontId="1"/>
  </si>
  <si>
    <t>サワークリームオニオン</t>
    <phoneticPr fontId="1"/>
  </si>
  <si>
    <t>サルサソース925ｇ</t>
    <phoneticPr fontId="1"/>
  </si>
  <si>
    <t>日本そば</t>
    <rPh sb="0" eb="2">
      <t>ニホン</t>
    </rPh>
    <phoneticPr fontId="1"/>
  </si>
  <si>
    <t>タコスソース</t>
  </si>
  <si>
    <t>ツナフレーク（ノンオイル）</t>
    <phoneticPr fontId="1"/>
  </si>
  <si>
    <t>タコスシーズニング230ｇ</t>
    <phoneticPr fontId="1"/>
  </si>
  <si>
    <t>とろろ（冷凍）</t>
    <rPh sb="4" eb="6">
      <t>レイトウ</t>
    </rPh>
    <phoneticPr fontId="1"/>
  </si>
  <si>
    <t>毛沢東スパイス</t>
  </si>
  <si>
    <t>ネギトロチューブ</t>
    <phoneticPr fontId="1"/>
  </si>
  <si>
    <t>鍋だし</t>
  </si>
  <si>
    <t>引上ゆば</t>
    <rPh sb="0" eb="1">
      <t>ヒ</t>
    </rPh>
    <rPh sb="1" eb="2">
      <t>ア</t>
    </rPh>
    <phoneticPr fontId="1"/>
  </si>
  <si>
    <t>鍋の返し</t>
  </si>
  <si>
    <t>春巻きの皮（冷凍）</t>
    <rPh sb="0" eb="2">
      <t>ハルマ</t>
    </rPh>
    <rPh sb="4" eb="5">
      <t>カワ</t>
    </rPh>
    <rPh sb="6" eb="8">
      <t>レイトウ</t>
    </rPh>
    <phoneticPr fontId="1"/>
  </si>
  <si>
    <t>クラシックピザソース</t>
  </si>
  <si>
    <t>スイートコーン</t>
    <phoneticPr fontId="1"/>
  </si>
  <si>
    <t>一番だし</t>
  </si>
  <si>
    <t>もみじおろし</t>
    <phoneticPr fontId="1"/>
  </si>
  <si>
    <t>大葉(20枚）</t>
  </si>
  <si>
    <t>しそ漬梅干</t>
    <rPh sb="2" eb="3">
      <t>ヅ</t>
    </rPh>
    <rPh sb="3" eb="5">
      <t>ウメボ</t>
    </rPh>
    <phoneticPr fontId="1"/>
  </si>
  <si>
    <t>豆腐（木綿）</t>
  </si>
  <si>
    <t>小梅</t>
    <rPh sb="0" eb="2">
      <t>コウメ</t>
    </rPh>
    <phoneticPr fontId="1"/>
  </si>
  <si>
    <t>バケット</t>
  </si>
  <si>
    <t>大根おろし（冷凍）</t>
    <rPh sb="0" eb="2">
      <t>ダイコン</t>
    </rPh>
    <rPh sb="6" eb="8">
      <t>レイトウ</t>
    </rPh>
    <phoneticPr fontId="1"/>
  </si>
  <si>
    <t>旨エビキムチ</t>
  </si>
  <si>
    <t>いぶりがっこ</t>
    <phoneticPr fontId="1"/>
  </si>
  <si>
    <t>枝豆（冷凍）500ｇ</t>
    <phoneticPr fontId="1"/>
  </si>
  <si>
    <t>あおさのり</t>
    <phoneticPr fontId="1"/>
  </si>
  <si>
    <t>オクラ（冷凍）</t>
    <rPh sb="4" eb="6">
      <t>レイトウ</t>
    </rPh>
    <phoneticPr fontId="1"/>
  </si>
  <si>
    <t>味付半熟卵10個入り</t>
    <rPh sb="0" eb="2">
      <t>アジツ</t>
    </rPh>
    <rPh sb="2" eb="4">
      <t>ハンジュク</t>
    </rPh>
    <rPh sb="4" eb="5">
      <t>タマゴ</t>
    </rPh>
    <rPh sb="7" eb="8">
      <t>コ</t>
    </rPh>
    <rPh sb="8" eb="9">
      <t>イ</t>
    </rPh>
    <phoneticPr fontId="1"/>
  </si>
  <si>
    <t>白身フライ（冷凍）</t>
    <rPh sb="0" eb="2">
      <t>シロミ</t>
    </rPh>
    <rPh sb="6" eb="8">
      <t>レイトウ</t>
    </rPh>
    <phoneticPr fontId="1"/>
  </si>
  <si>
    <t>たこわさ500ｇ</t>
    <phoneticPr fontId="1"/>
  </si>
  <si>
    <t>クリームチーズ</t>
    <phoneticPr fontId="1"/>
  </si>
  <si>
    <t>梅水晶</t>
    <rPh sb="0" eb="3">
      <t>ウメスイショウ</t>
    </rPh>
    <phoneticPr fontId="1"/>
  </si>
  <si>
    <t>バニラアイス</t>
    <phoneticPr fontId="1"/>
  </si>
  <si>
    <t>黒豚焼売12個入り</t>
    <rPh sb="0" eb="2">
      <t>クロブタ</t>
    </rPh>
    <rPh sb="2" eb="4">
      <t>シュウマイ</t>
    </rPh>
    <rPh sb="6" eb="7">
      <t>コ</t>
    </rPh>
    <rPh sb="7" eb="8">
      <t>イ</t>
    </rPh>
    <phoneticPr fontId="1"/>
  </si>
  <si>
    <t>ほうじ茶アイス</t>
    <rPh sb="3" eb="4">
      <t>チャ</t>
    </rPh>
    <phoneticPr fontId="1"/>
  </si>
  <si>
    <t>ブルーベリー（冷凍）</t>
    <rPh sb="7" eb="9">
      <t>レイトウ</t>
    </rPh>
    <phoneticPr fontId="1"/>
  </si>
  <si>
    <t>胡麻ドレッシング</t>
    <rPh sb="0" eb="2">
      <t>ゴマ</t>
    </rPh>
    <phoneticPr fontId="1"/>
  </si>
  <si>
    <t>コーンスターチ</t>
    <phoneticPr fontId="1"/>
  </si>
  <si>
    <t>もろ味噌</t>
    <rPh sb="2" eb="4">
      <t>ミソ</t>
    </rPh>
    <phoneticPr fontId="1"/>
  </si>
  <si>
    <t>ブラータ</t>
    <phoneticPr fontId="1"/>
  </si>
  <si>
    <t>日高昆布</t>
    <rPh sb="0" eb="2">
      <t>ヒダカ</t>
    </rPh>
    <rPh sb="2" eb="4">
      <t>コンブ</t>
    </rPh>
    <phoneticPr fontId="1"/>
  </si>
  <si>
    <t>パルメザンチーズ</t>
    <phoneticPr fontId="1"/>
  </si>
  <si>
    <t>とろろ昆布</t>
    <rPh sb="3" eb="5">
      <t>コンブ</t>
    </rPh>
    <phoneticPr fontId="1"/>
  </si>
  <si>
    <t>アスパラガス</t>
    <phoneticPr fontId="1"/>
  </si>
  <si>
    <t>ネギトロ</t>
    <phoneticPr fontId="1"/>
  </si>
  <si>
    <t>レモン</t>
    <phoneticPr fontId="1"/>
  </si>
  <si>
    <t>蟹クリームコロッケ</t>
    <rPh sb="0" eb="1">
      <t>カニ</t>
    </rPh>
    <phoneticPr fontId="1"/>
  </si>
  <si>
    <t>イチゴ</t>
    <phoneticPr fontId="1"/>
  </si>
  <si>
    <t>鶏ミンチ</t>
    <rPh sb="0" eb="1">
      <t>トリ</t>
    </rPh>
    <phoneticPr fontId="1"/>
  </si>
  <si>
    <t>紅ずわいがにのトマトクリーム</t>
    <rPh sb="0" eb="1">
      <t>ベニ</t>
    </rPh>
    <phoneticPr fontId="1"/>
  </si>
  <si>
    <t>豚ミンチ（三角）</t>
    <rPh sb="0" eb="1">
      <t>ブタ</t>
    </rPh>
    <rPh sb="5" eb="7">
      <t>サンカク</t>
    </rPh>
    <phoneticPr fontId="1"/>
  </si>
  <si>
    <t>カニみそｚ</t>
    <phoneticPr fontId="1"/>
  </si>
  <si>
    <t>梅肉チューブ</t>
    <rPh sb="0" eb="2">
      <t>バイニク</t>
    </rPh>
    <phoneticPr fontId="1"/>
  </si>
  <si>
    <t>板こんにゃく</t>
    <rPh sb="0" eb="1">
      <t>イタ</t>
    </rPh>
    <phoneticPr fontId="1"/>
  </si>
  <si>
    <t>柚子胡椒チューブ</t>
    <rPh sb="0" eb="4">
      <t>ユズコショウ</t>
    </rPh>
    <phoneticPr fontId="1"/>
  </si>
  <si>
    <t>豚角煮</t>
    <rPh sb="0" eb="1">
      <t>ブタ</t>
    </rPh>
    <rPh sb="1" eb="3">
      <t>カクニ</t>
    </rPh>
    <phoneticPr fontId="1"/>
  </si>
  <si>
    <t>明太チューブ300ｇ</t>
    <rPh sb="0" eb="2">
      <t>メンタイ</t>
    </rPh>
    <phoneticPr fontId="1"/>
  </si>
  <si>
    <t>白菜キムチ</t>
    <rPh sb="0" eb="2">
      <t>ハクサイ</t>
    </rPh>
    <phoneticPr fontId="1"/>
  </si>
  <si>
    <t>からしチューブ</t>
  </si>
  <si>
    <t>鴨ロース（加工）</t>
    <rPh sb="0" eb="1">
      <t>カモ</t>
    </rPh>
    <rPh sb="5" eb="7">
      <t>カコウ</t>
    </rPh>
    <phoneticPr fontId="1"/>
  </si>
  <si>
    <t>生ハム</t>
    <rPh sb="0" eb="1">
      <t>ナマ</t>
    </rPh>
    <phoneticPr fontId="1"/>
  </si>
  <si>
    <t>豚ロース（加工）</t>
    <rPh sb="0" eb="1">
      <t>ブタ</t>
    </rPh>
    <rPh sb="5" eb="7">
      <t>カコウ</t>
    </rPh>
    <phoneticPr fontId="1"/>
  </si>
  <si>
    <t>馬刺し</t>
    <rPh sb="0" eb="2">
      <t>バサ</t>
    </rPh>
    <phoneticPr fontId="1"/>
  </si>
  <si>
    <t>麻婆豆腐（加工）</t>
    <rPh sb="0" eb="4">
      <t>マーボードウフ</t>
    </rPh>
    <rPh sb="5" eb="7">
      <t>カコウ</t>
    </rPh>
    <phoneticPr fontId="1"/>
  </si>
  <si>
    <t>青唐辛子味噌</t>
    <rPh sb="0" eb="4">
      <t>アオトウガラシ</t>
    </rPh>
    <rPh sb="4" eb="6">
      <t>ミソ</t>
    </rPh>
    <phoneticPr fontId="1"/>
  </si>
  <si>
    <t>マグロ（加工）</t>
    <rPh sb="4" eb="6">
      <t>カコウ</t>
    </rPh>
    <phoneticPr fontId="1"/>
  </si>
  <si>
    <t>刻み生柚子</t>
    <rPh sb="0" eb="1">
      <t>キザ</t>
    </rPh>
    <rPh sb="2" eb="3">
      <t>ナマ</t>
    </rPh>
    <rPh sb="3" eb="5">
      <t>ユズ</t>
    </rPh>
    <phoneticPr fontId="1"/>
  </si>
  <si>
    <t>肉味噌（加工）</t>
    <rPh sb="0" eb="3">
      <t>ニクミソ</t>
    </rPh>
    <rPh sb="4" eb="6">
      <t>カコウ</t>
    </rPh>
    <phoneticPr fontId="1"/>
  </si>
  <si>
    <t>酢味噌</t>
    <rPh sb="0" eb="3">
      <t>スミソ</t>
    </rPh>
    <phoneticPr fontId="1"/>
  </si>
  <si>
    <t>おでん（加工）</t>
    <rPh sb="4" eb="6">
      <t>カコウ</t>
    </rPh>
    <phoneticPr fontId="1"/>
  </si>
  <si>
    <t>タルタルソース</t>
    <phoneticPr fontId="1"/>
  </si>
  <si>
    <t>エビチリ（加工）</t>
    <rPh sb="5" eb="7">
      <t>カコウ</t>
    </rPh>
    <phoneticPr fontId="1"/>
  </si>
  <si>
    <t>シーザードレッシング</t>
    <phoneticPr fontId="1"/>
  </si>
  <si>
    <t>ホルモン（加工）</t>
    <rPh sb="5" eb="7">
      <t>カコウ</t>
    </rPh>
    <phoneticPr fontId="1"/>
  </si>
  <si>
    <t>米酢</t>
    <rPh sb="0" eb="2">
      <t>コメス</t>
    </rPh>
    <phoneticPr fontId="1"/>
  </si>
  <si>
    <t>よだれ鶏（加工）</t>
    <rPh sb="3" eb="4">
      <t>トリ</t>
    </rPh>
    <rPh sb="5" eb="7">
      <t>カコウ</t>
    </rPh>
    <phoneticPr fontId="1"/>
  </si>
  <si>
    <t>パン粉</t>
    <rPh sb="2" eb="3">
      <t>コ</t>
    </rPh>
    <phoneticPr fontId="1"/>
  </si>
  <si>
    <t>だいやめ</t>
    <phoneticPr fontId="1"/>
  </si>
  <si>
    <t>EMO</t>
    <phoneticPr fontId="1"/>
  </si>
  <si>
    <t>麻辣枝豆（加工）</t>
    <rPh sb="0" eb="2">
      <t>マーラー</t>
    </rPh>
    <rPh sb="2" eb="4">
      <t>エダマメ</t>
    </rPh>
    <rPh sb="5" eb="7">
      <t>カコウ</t>
    </rPh>
    <phoneticPr fontId="1"/>
  </si>
  <si>
    <t>MUGY</t>
    <phoneticPr fontId="1"/>
  </si>
  <si>
    <t>ポテトサラダ（加工）</t>
    <rPh sb="7" eb="9">
      <t>カコウ</t>
    </rPh>
    <phoneticPr fontId="3"/>
  </si>
  <si>
    <t>チルグリーン緑</t>
    <rPh sb="6" eb="7">
      <t>ミドリ</t>
    </rPh>
    <phoneticPr fontId="1"/>
  </si>
  <si>
    <t>回鍋肉たれ（加工）2L</t>
  </si>
  <si>
    <t>ピーチ　</t>
    <phoneticPr fontId="1"/>
  </si>
  <si>
    <t>ホルモンタレ（加工）</t>
    <rPh sb="7" eb="9">
      <t>カコウ</t>
    </rPh>
    <phoneticPr fontId="1"/>
  </si>
  <si>
    <t>青島</t>
    <rPh sb="0" eb="2">
      <t>アオシマ</t>
    </rPh>
    <phoneticPr fontId="1"/>
  </si>
  <si>
    <t>ごまダレ（加工）</t>
    <rPh sb="5" eb="7">
      <t>カコウ</t>
    </rPh>
    <phoneticPr fontId="1"/>
  </si>
  <si>
    <t>ヨーグルト(ヨーコ）</t>
  </si>
  <si>
    <t>豚バラタレ（加工）せいろたれ２L</t>
  </si>
  <si>
    <t>ドライレモン（ヨーコ）</t>
  </si>
  <si>
    <t>鴨ロースタレ（加工）</t>
    <rPh sb="0" eb="1">
      <t>カモ</t>
    </rPh>
    <rPh sb="7" eb="9">
      <t>カコウ</t>
    </rPh>
    <phoneticPr fontId="3"/>
  </si>
  <si>
    <t>瀬戸内レモン</t>
    <rPh sb="0" eb="3">
      <t>セトウチ</t>
    </rPh>
    <phoneticPr fontId="1"/>
  </si>
  <si>
    <t>ピザソース（加工）３５０ｇ</t>
  </si>
  <si>
    <t>ティフィン</t>
    <phoneticPr fontId="1"/>
  </si>
  <si>
    <t>四川タレ（加工）</t>
    <rPh sb="0" eb="2">
      <t>シセン</t>
    </rPh>
    <rPh sb="5" eb="7">
      <t>カコウ</t>
    </rPh>
    <phoneticPr fontId="3"/>
  </si>
  <si>
    <t>男梅</t>
    <rPh sb="0" eb="1">
      <t>オトコ</t>
    </rPh>
    <rPh sb="1" eb="2">
      <t>ウメ</t>
    </rPh>
    <phoneticPr fontId="1"/>
  </si>
  <si>
    <t>アボカドのたれ（加工）</t>
    <rPh sb="8" eb="10">
      <t>カコウ</t>
    </rPh>
    <phoneticPr fontId="3"/>
  </si>
  <si>
    <t>チルグリーン赤</t>
    <rPh sb="6" eb="7">
      <t>アカ</t>
    </rPh>
    <phoneticPr fontId="1"/>
  </si>
  <si>
    <t>マンゴーチリマヨソース（加工）</t>
    <rPh sb="12" eb="14">
      <t>カコウ</t>
    </rPh>
    <phoneticPr fontId="3"/>
  </si>
  <si>
    <t>クライナー</t>
    <phoneticPr fontId="1"/>
  </si>
  <si>
    <t>鮪タレ（加工）</t>
    <rPh sb="0" eb="1">
      <t>マグロ</t>
    </rPh>
    <rPh sb="4" eb="6">
      <t>カコウ</t>
    </rPh>
    <phoneticPr fontId="3"/>
  </si>
  <si>
    <t>WY</t>
    <phoneticPr fontId="1"/>
  </si>
  <si>
    <t>もつ鍋の素（加工）</t>
    <rPh sb="2" eb="3">
      <t>ナベ</t>
    </rPh>
    <rPh sb="4" eb="5">
      <t>モト</t>
    </rPh>
    <rPh sb="6" eb="8">
      <t>カコウ</t>
    </rPh>
    <phoneticPr fontId="3"/>
  </si>
  <si>
    <t>イサイナ</t>
    <phoneticPr fontId="1"/>
  </si>
  <si>
    <t>玉ねぎ豚バラ巻（１人前）</t>
  </si>
  <si>
    <t>電気ブラン</t>
    <rPh sb="0" eb="2">
      <t>デンキ</t>
    </rPh>
    <phoneticPr fontId="1"/>
  </si>
  <si>
    <t>タコス用ミンチ（１人前３０ｇ）</t>
  </si>
  <si>
    <t>EMOT</t>
    <phoneticPr fontId="1"/>
  </si>
  <si>
    <t>餃子餡（1タッパー１２００ｇ）</t>
  </si>
  <si>
    <t>ヨーグリート</t>
    <phoneticPr fontId="1"/>
  </si>
  <si>
    <t>餃子皮（1タッパー約３５枚）</t>
  </si>
  <si>
    <t>ヨーグルトリキュール</t>
    <phoneticPr fontId="1"/>
  </si>
  <si>
    <t>サルサソース（タコス用に加工）80ｇ</t>
  </si>
  <si>
    <t>コカレロ</t>
    <phoneticPr fontId="1"/>
  </si>
  <si>
    <t>冷凍餃子１個</t>
  </si>
  <si>
    <t>シャンパン</t>
    <phoneticPr fontId="1"/>
  </si>
  <si>
    <t>餃子タレ２L</t>
  </si>
  <si>
    <t>飴</t>
  </si>
  <si>
    <t>クラフトビール</t>
  </si>
  <si>
    <t>クラフトジン</t>
  </si>
  <si>
    <t>合計</t>
  </si>
  <si>
    <t>全部の合計</t>
    <rPh sb="0" eb="2">
      <t>ゼンブ</t>
    </rPh>
    <rPh sb="3" eb="5">
      <t>ゴウケイ</t>
    </rPh>
    <phoneticPr fontId="1"/>
  </si>
  <si>
    <t>片栗粉</t>
    <rPh sb="0" eb="3">
      <t>カタクリコ</t>
    </rPh>
    <phoneticPr fontId="1"/>
  </si>
  <si>
    <t>強力粉（ゆめちから）</t>
    <phoneticPr fontId="1"/>
  </si>
  <si>
    <t>豚ロース肉</t>
    <rPh sb="0" eb="1">
      <t>ブタ</t>
    </rPh>
    <rPh sb="4" eb="5">
      <t>ニク</t>
    </rPh>
    <phoneticPr fontId="1"/>
  </si>
  <si>
    <t>チーズ（スライス）</t>
    <phoneticPr fontId="1"/>
  </si>
  <si>
    <t>チーズ（ピザ用）</t>
    <rPh sb="6" eb="7">
      <t>ヨウ</t>
    </rPh>
    <phoneticPr fontId="1"/>
  </si>
  <si>
    <t>モッツァレラチーズ</t>
    <phoneticPr fontId="1"/>
  </si>
  <si>
    <t>牛乳</t>
    <rPh sb="0" eb="2">
      <t>ギュウニュウ</t>
    </rPh>
    <phoneticPr fontId="1"/>
  </si>
  <si>
    <t>アボカド</t>
    <phoneticPr fontId="1"/>
  </si>
  <si>
    <t>玉ねぎ（くし切り）3玉</t>
    <rPh sb="0" eb="1">
      <t>タマ</t>
    </rPh>
    <rPh sb="6" eb="7">
      <t>ギ</t>
    </rPh>
    <rPh sb="10" eb="11">
      <t>タマ</t>
    </rPh>
    <phoneticPr fontId="1"/>
  </si>
  <si>
    <t>きゅうり（輪切）</t>
    <rPh sb="5" eb="7">
      <t>ワギ</t>
    </rPh>
    <phoneticPr fontId="1"/>
  </si>
  <si>
    <t>椎茸（薄切り）1ｐ</t>
    <rPh sb="0" eb="2">
      <t>シイタケ</t>
    </rPh>
    <rPh sb="3" eb="5">
      <t>ウスギ</t>
    </rPh>
    <phoneticPr fontId="1"/>
  </si>
  <si>
    <t>ごま油1650ｇ</t>
    <phoneticPr fontId="1"/>
  </si>
  <si>
    <t>豚バラスライス</t>
  </si>
  <si>
    <t>ラー油1650ｇ</t>
    <phoneticPr fontId="1"/>
  </si>
  <si>
    <t>鴨ラード2ｋｇ</t>
    <phoneticPr fontId="1"/>
  </si>
  <si>
    <t>合鴨</t>
  </si>
  <si>
    <t>サラダ油1650ｇ</t>
    <phoneticPr fontId="1"/>
  </si>
  <si>
    <t>海老（冷凍）天然むきえび</t>
    <rPh sb="3" eb="5">
      <t>レイトウ</t>
    </rPh>
    <rPh sb="6" eb="8">
      <t>テンネン</t>
    </rPh>
    <phoneticPr fontId="1"/>
  </si>
  <si>
    <t>合計</t>
    <rPh sb="0" eb="2">
      <t>ゴウケイ</t>
    </rPh>
    <phoneticPr fontId="1"/>
  </si>
  <si>
    <t>鶏油（缶）700g</t>
    <rPh sb="0" eb="1">
      <t>トリ</t>
    </rPh>
    <rPh sb="1" eb="2">
      <t>アブラ</t>
    </rPh>
    <rPh sb="3" eb="4">
      <t>カン</t>
    </rPh>
    <phoneticPr fontId="1"/>
  </si>
  <si>
    <t>創味　料理つゆ1.8L</t>
    <rPh sb="0" eb="2">
      <t>ソウミ</t>
    </rPh>
    <rPh sb="3" eb="5">
      <t>リョウリ</t>
    </rPh>
    <phoneticPr fontId="1"/>
  </si>
  <si>
    <t>大豆白絞油（缶）16.5kg</t>
    <rPh sb="0" eb="2">
      <t>ダイズ</t>
    </rPh>
    <rPh sb="2" eb="3">
      <t>シロ</t>
    </rPh>
    <rPh sb="3" eb="4">
      <t>シボ</t>
    </rPh>
    <rPh sb="4" eb="5">
      <t>アブラ</t>
    </rPh>
    <rPh sb="6" eb="7">
      <t>カン</t>
    </rPh>
    <phoneticPr fontId="1"/>
  </si>
  <si>
    <t>黒酢1L</t>
    <rPh sb="0" eb="2">
      <t>クロズ</t>
    </rPh>
    <phoneticPr fontId="1"/>
  </si>
  <si>
    <t>カンタン酢1L</t>
    <rPh sb="4" eb="5">
      <t>ス</t>
    </rPh>
    <phoneticPr fontId="1"/>
  </si>
  <si>
    <t>鶏がら1kg</t>
    <phoneticPr fontId="1"/>
  </si>
  <si>
    <t>マスタード865g</t>
    <phoneticPr fontId="1"/>
  </si>
  <si>
    <t>濃口醤油1.8L</t>
    <phoneticPr fontId="1"/>
  </si>
  <si>
    <t>ベイリーブス（ホール）100g</t>
    <phoneticPr fontId="1"/>
  </si>
  <si>
    <t>みりん1.8L</t>
    <phoneticPr fontId="1"/>
  </si>
  <si>
    <t>ホクレン　甜菜糖650g</t>
    <rPh sb="5" eb="8">
      <t>テンサイトウ</t>
    </rPh>
    <phoneticPr fontId="1"/>
  </si>
  <si>
    <t>おろしにんにく1kg</t>
    <phoneticPr fontId="1"/>
  </si>
  <si>
    <t>おろししょうが1kg</t>
    <phoneticPr fontId="1"/>
  </si>
  <si>
    <t>馬刺醤油1.8L</t>
    <rPh sb="0" eb="2">
      <t>バサ</t>
    </rPh>
    <rPh sb="2" eb="4">
      <t>ショウユ</t>
    </rPh>
    <phoneticPr fontId="1"/>
  </si>
  <si>
    <t>から揚げ漬け込みだれ2.1L</t>
    <rPh sb="2" eb="3">
      <t>ア</t>
    </rPh>
    <rPh sb="4" eb="5">
      <t>ツ</t>
    </rPh>
    <rPh sb="6" eb="7">
      <t>コ</t>
    </rPh>
    <phoneticPr fontId="1"/>
  </si>
  <si>
    <t>京一味10g</t>
    <rPh sb="0" eb="1">
      <t>キョウ</t>
    </rPh>
    <rPh sb="1" eb="3">
      <t>イチミ</t>
    </rPh>
    <phoneticPr fontId="1"/>
  </si>
  <si>
    <t>コチュジャン500g</t>
    <phoneticPr fontId="1"/>
  </si>
  <si>
    <t>一味唐辛子300g</t>
    <rPh sb="0" eb="5">
      <t>イチミトウガラシ</t>
    </rPh>
    <phoneticPr fontId="1"/>
  </si>
  <si>
    <t>万能薫製のたれ1L</t>
    <rPh sb="0" eb="2">
      <t>バンノウ</t>
    </rPh>
    <rPh sb="2" eb="4">
      <t>クンセイ</t>
    </rPh>
    <phoneticPr fontId="1"/>
  </si>
  <si>
    <t>料理酒1.8L</t>
    <phoneticPr fontId="1"/>
  </si>
  <si>
    <t>料亭白だし1.8L</t>
    <rPh sb="0" eb="2">
      <t>リョウテイ</t>
    </rPh>
    <rPh sb="2" eb="3">
      <t>シロ</t>
    </rPh>
    <phoneticPr fontId="1"/>
  </si>
  <si>
    <t>塩1kg</t>
    <phoneticPr fontId="1"/>
  </si>
  <si>
    <t>薄口醤油1.8L</t>
    <phoneticPr fontId="1"/>
  </si>
  <si>
    <t>味の素1kg</t>
    <phoneticPr fontId="1"/>
  </si>
  <si>
    <t>シャンタン</t>
  </si>
  <si>
    <t>マヨネーズ　1ｋｇ</t>
    <phoneticPr fontId="1"/>
  </si>
  <si>
    <t>パプリカパウダー1kg</t>
    <phoneticPr fontId="1"/>
  </si>
  <si>
    <t>フライドオニオン</t>
  </si>
  <si>
    <t>山椒（ホール）100g</t>
    <phoneticPr fontId="1"/>
  </si>
  <si>
    <t>エビトマトクリーム</t>
  </si>
  <si>
    <t>ケチャップ1kg</t>
    <phoneticPr fontId="1"/>
  </si>
  <si>
    <t>花椒（ホール）</t>
  </si>
  <si>
    <t>白ごま1kg</t>
    <phoneticPr fontId="1"/>
  </si>
  <si>
    <t>蜂蜜1kg</t>
    <phoneticPr fontId="1"/>
  </si>
  <si>
    <t>琉球醤油500ml</t>
    <phoneticPr fontId="1"/>
  </si>
  <si>
    <t>パセリ80g</t>
    <phoneticPr fontId="1"/>
  </si>
  <si>
    <t>ポン酢1.8L</t>
    <phoneticPr fontId="1"/>
  </si>
  <si>
    <t>花かつお500g</t>
    <phoneticPr fontId="1"/>
  </si>
  <si>
    <t>粒マスタード845g</t>
    <phoneticPr fontId="1"/>
  </si>
  <si>
    <t>花椒（パウダー）</t>
  </si>
  <si>
    <t>わさび210g</t>
    <phoneticPr fontId="1"/>
  </si>
  <si>
    <t>創味　塩だれ2kg</t>
    <rPh sb="0" eb="2">
      <t>ソウミ</t>
    </rPh>
    <phoneticPr fontId="1"/>
  </si>
  <si>
    <t>卵</t>
  </si>
  <si>
    <t>冷凍ラーメン200ｇ５入り</t>
    <rPh sb="0" eb="2">
      <t>レイトウ</t>
    </rPh>
    <rPh sb="11" eb="12">
      <t>イ</t>
    </rPh>
    <phoneticPr fontId="1"/>
  </si>
  <si>
    <t>味付もやし</t>
    <rPh sb="0" eb="2">
      <t>アジツ</t>
    </rPh>
    <phoneticPr fontId="1"/>
  </si>
  <si>
    <t>無洗米5ｋｇ</t>
    <rPh sb="0" eb="3">
      <t>ムセンマイ</t>
    </rPh>
    <phoneticPr fontId="1"/>
  </si>
  <si>
    <t>台湾ミンチ</t>
  </si>
  <si>
    <t>アボガドソース</t>
  </si>
  <si>
    <t>サワークリームオニオン５００ｍｌ</t>
  </si>
  <si>
    <t>サルサソース</t>
  </si>
  <si>
    <t>日本そば200ｇ５入り</t>
    <rPh sb="0" eb="2">
      <t>ニホン</t>
    </rPh>
    <rPh sb="9" eb="10">
      <t>イ</t>
    </rPh>
    <phoneticPr fontId="1"/>
  </si>
  <si>
    <t>タコスシーズニング</t>
  </si>
  <si>
    <t>鍋だし1.8L</t>
  </si>
  <si>
    <t>春巻きの皮（冷凍）２０入り</t>
    <rPh sb="0" eb="2">
      <t>ハルマ</t>
    </rPh>
    <rPh sb="4" eb="5">
      <t>カワ</t>
    </rPh>
    <rPh sb="6" eb="8">
      <t>レイトウ</t>
    </rPh>
    <rPh sb="11" eb="12">
      <t>イ</t>
    </rPh>
    <phoneticPr fontId="1"/>
  </si>
  <si>
    <t>一番だし1.8L</t>
  </si>
  <si>
    <t>大葉</t>
  </si>
  <si>
    <t>バケット1ｐ</t>
    <phoneticPr fontId="1"/>
  </si>
  <si>
    <t>枝豆（冷凍）</t>
  </si>
  <si>
    <t>味付半熟卵</t>
    <rPh sb="0" eb="2">
      <t>アジツ</t>
    </rPh>
    <rPh sb="2" eb="4">
      <t>ハンジュク</t>
    </rPh>
    <rPh sb="4" eb="5">
      <t>タマゴ</t>
    </rPh>
    <phoneticPr fontId="1"/>
  </si>
  <si>
    <t>白身フライ（冷凍）50ｇ100入り</t>
    <rPh sb="0" eb="2">
      <t>シロミ</t>
    </rPh>
    <rPh sb="6" eb="8">
      <t>レイトウ</t>
    </rPh>
    <rPh sb="15" eb="16">
      <t>イ</t>
    </rPh>
    <phoneticPr fontId="1"/>
  </si>
  <si>
    <t>たこわさ</t>
    <phoneticPr fontId="1"/>
  </si>
  <si>
    <t>クリームチーズ1ｋｇ</t>
    <phoneticPr fontId="1"/>
  </si>
  <si>
    <t>梅水晶７００ｇ</t>
  </si>
  <si>
    <t>バニラアイス2L</t>
    <phoneticPr fontId="1"/>
  </si>
  <si>
    <t>黒豚焼売</t>
    <rPh sb="0" eb="2">
      <t>クロブタ</t>
    </rPh>
    <rPh sb="2" eb="4">
      <t>シュウマイ</t>
    </rPh>
    <phoneticPr fontId="1"/>
  </si>
  <si>
    <t>ほうじ茶アイス2L</t>
    <rPh sb="3" eb="4">
      <t>チャ</t>
    </rPh>
    <phoneticPr fontId="1"/>
  </si>
  <si>
    <t>胡麻ドレッシング1L</t>
    <rPh sb="0" eb="2">
      <t>ゴマ</t>
    </rPh>
    <phoneticPr fontId="1"/>
  </si>
  <si>
    <t>もろ味噌1ｋｇ</t>
    <rPh sb="2" eb="4">
      <t>ミソ</t>
    </rPh>
    <phoneticPr fontId="1"/>
  </si>
  <si>
    <t>日高昆布1kg</t>
    <rPh sb="0" eb="2">
      <t>ヒダカ</t>
    </rPh>
    <rPh sb="2" eb="4">
      <t>コンブ</t>
    </rPh>
    <phoneticPr fontId="1"/>
  </si>
  <si>
    <t>とろろ昆布72ｇ</t>
    <rPh sb="3" eb="5">
      <t>コンブ</t>
    </rPh>
    <phoneticPr fontId="1"/>
  </si>
  <si>
    <t>ネギトロ80ｇ２０入り</t>
    <rPh sb="9" eb="10">
      <t>イ</t>
    </rPh>
    <phoneticPr fontId="1"/>
  </si>
  <si>
    <t>蟹クリームコロッケ80ｇ6入り</t>
    <rPh sb="0" eb="1">
      <t>カニ</t>
    </rPh>
    <rPh sb="13" eb="14">
      <t>イ</t>
    </rPh>
    <phoneticPr fontId="1"/>
  </si>
  <si>
    <t>サーモンフライ</t>
    <phoneticPr fontId="1"/>
  </si>
  <si>
    <t>国産鶏　白子</t>
    <rPh sb="0" eb="3">
      <t>コクサンドリ</t>
    </rPh>
    <rPh sb="4" eb="6">
      <t>シラコ</t>
    </rPh>
    <phoneticPr fontId="1"/>
  </si>
  <si>
    <t>国産鶏　ハラミ炭火焼</t>
    <rPh sb="0" eb="3">
      <t>コクサンドリ</t>
    </rPh>
    <rPh sb="7" eb="10">
      <t>スミビヤキ</t>
    </rPh>
    <phoneticPr fontId="1"/>
  </si>
  <si>
    <t>白菜キムチ1ｋｇ</t>
    <rPh sb="0" eb="2">
      <t>ハクサイ</t>
    </rPh>
    <phoneticPr fontId="1"/>
  </si>
  <si>
    <t>せせり</t>
    <phoneticPr fontId="1"/>
  </si>
  <si>
    <t>タルタルソース1ｋｇ</t>
    <phoneticPr fontId="1"/>
  </si>
  <si>
    <t>シーザードレッシング1L</t>
    <phoneticPr fontId="1"/>
  </si>
  <si>
    <t>カレーフレーク1ｋｇ</t>
    <phoneticPr fontId="1"/>
  </si>
  <si>
    <t>京鴨</t>
    <rPh sb="0" eb="1">
      <t>キョウ</t>
    </rPh>
    <rPh sb="1" eb="2">
      <t>カモ</t>
    </rPh>
    <phoneticPr fontId="1"/>
  </si>
  <si>
    <t>土竜</t>
    <rPh sb="0" eb="1">
      <t>ツチ</t>
    </rPh>
    <rPh sb="1" eb="2">
      <t>リュウ</t>
    </rPh>
    <phoneticPr fontId="1"/>
  </si>
  <si>
    <t>山崎</t>
    <rPh sb="0" eb="2">
      <t>ヤマザキ</t>
    </rPh>
    <phoneticPr fontId="1"/>
  </si>
  <si>
    <t>黒霧島</t>
    <rPh sb="0" eb="3">
      <t>クロキリシマ</t>
    </rPh>
    <phoneticPr fontId="1"/>
  </si>
  <si>
    <t>吉四六</t>
    <rPh sb="0" eb="3">
      <t>キッチョム</t>
    </rPh>
    <phoneticPr fontId="1"/>
  </si>
  <si>
    <t>黒ラベル　樽生　20L</t>
    <rPh sb="0" eb="1">
      <t>クロ</t>
    </rPh>
    <rPh sb="5" eb="6">
      <t>タル</t>
    </rPh>
    <rPh sb="6" eb="7">
      <t>ナマ</t>
    </rPh>
    <phoneticPr fontId="1"/>
  </si>
  <si>
    <t>角　5L</t>
    <rPh sb="0" eb="1">
      <t>カク</t>
    </rPh>
    <phoneticPr fontId="1"/>
  </si>
  <si>
    <t>赤星大瓶 20本</t>
  </si>
  <si>
    <t>茉莉花</t>
    <rPh sb="0" eb="3">
      <t>マツリカ</t>
    </rPh>
    <phoneticPr fontId="1"/>
  </si>
  <si>
    <t>日本酒　　二兎</t>
    <rPh sb="0" eb="3">
      <t>ニホンシュ</t>
    </rPh>
    <rPh sb="5" eb="7">
      <t>ニト</t>
    </rPh>
    <phoneticPr fontId="1"/>
  </si>
  <si>
    <t>赤ワイン</t>
    <rPh sb="0" eb="1">
      <t>アカ</t>
    </rPh>
    <phoneticPr fontId="1"/>
  </si>
  <si>
    <t xml:space="preserve"> </t>
    <phoneticPr fontId="1"/>
  </si>
  <si>
    <t>作</t>
    <rPh sb="0" eb="1">
      <t>ツク</t>
    </rPh>
    <phoneticPr fontId="1"/>
  </si>
  <si>
    <t>白ワイン</t>
    <rPh sb="0" eb="1">
      <t>シロ</t>
    </rPh>
    <phoneticPr fontId="1"/>
  </si>
  <si>
    <t>九平次</t>
    <rPh sb="0" eb="1">
      <t>キュウ</t>
    </rPh>
    <rPh sb="1" eb="3">
      <t>ヘイジ</t>
    </rPh>
    <phoneticPr fontId="1"/>
  </si>
  <si>
    <t>獺祭</t>
    <rPh sb="0" eb="2">
      <t>ダッサイ</t>
    </rPh>
    <phoneticPr fontId="1"/>
  </si>
  <si>
    <t>久保田</t>
    <rPh sb="0" eb="3">
      <t>クボタ</t>
    </rPh>
    <phoneticPr fontId="1"/>
  </si>
  <si>
    <t>鳥飼</t>
    <rPh sb="0" eb="1">
      <t>トリ</t>
    </rPh>
    <rPh sb="1" eb="2">
      <t>カ</t>
    </rPh>
    <phoneticPr fontId="1"/>
  </si>
  <si>
    <t>前田利家公</t>
    <rPh sb="0" eb="2">
      <t>マエダ</t>
    </rPh>
    <rPh sb="2" eb="3">
      <t>リ</t>
    </rPh>
    <rPh sb="3" eb="4">
      <t>ケ</t>
    </rPh>
    <rPh sb="4" eb="5">
      <t>コウ</t>
    </rPh>
    <phoneticPr fontId="1"/>
  </si>
  <si>
    <t>三岳</t>
    <rPh sb="0" eb="2">
      <t>ミタケ</t>
    </rPh>
    <phoneticPr fontId="1"/>
  </si>
  <si>
    <t>菊正宗</t>
    <rPh sb="0" eb="2">
      <t>キクマサ</t>
    </rPh>
    <rPh sb="2" eb="3">
      <t>ムネ</t>
    </rPh>
    <phoneticPr fontId="1"/>
  </si>
  <si>
    <t>翠</t>
    <rPh sb="0" eb="1">
      <t>スイ</t>
    </rPh>
    <phoneticPr fontId="1"/>
  </si>
  <si>
    <t>庭のうぐいす</t>
    <rPh sb="0" eb="1">
      <t>ニワ</t>
    </rPh>
    <phoneticPr fontId="1"/>
  </si>
  <si>
    <t>デュワーズ</t>
    <phoneticPr fontId="1"/>
  </si>
  <si>
    <t>奥</t>
    <rPh sb="0" eb="1">
      <t>オク</t>
    </rPh>
    <phoneticPr fontId="1"/>
  </si>
  <si>
    <t>北極星</t>
    <rPh sb="0" eb="3">
      <t>ホッキョクセイ</t>
    </rPh>
    <phoneticPr fontId="1"/>
  </si>
  <si>
    <t>理八</t>
    <rPh sb="0" eb="1">
      <t>リ</t>
    </rPh>
    <rPh sb="1" eb="2">
      <t>ハチ</t>
    </rPh>
    <phoneticPr fontId="1"/>
  </si>
  <si>
    <t>濃いめのレモンサワー</t>
    <rPh sb="0" eb="1">
      <t>コ</t>
    </rPh>
    <phoneticPr fontId="1"/>
  </si>
  <si>
    <t>あらごしもも</t>
    <phoneticPr fontId="1"/>
  </si>
  <si>
    <t>ヨーコヨーグルトサワー</t>
    <phoneticPr fontId="1"/>
  </si>
  <si>
    <t>あらごしみかん</t>
    <phoneticPr fontId="1"/>
  </si>
  <si>
    <t>沼津ラガー</t>
    <rPh sb="0" eb="2">
      <t>ヌマツ</t>
    </rPh>
    <phoneticPr fontId="1"/>
  </si>
  <si>
    <t>あらごし梅酒</t>
    <rPh sb="4" eb="6">
      <t>ウメシュ</t>
    </rPh>
    <phoneticPr fontId="1"/>
  </si>
  <si>
    <t>佐藤</t>
    <rPh sb="0" eb="2">
      <t>サトウ</t>
    </rPh>
    <phoneticPr fontId="1"/>
  </si>
  <si>
    <t>ナイアガラ白ぶどう</t>
    <rPh sb="5" eb="6">
      <t>シロ</t>
    </rPh>
    <phoneticPr fontId="1"/>
  </si>
  <si>
    <t>クラフトジン</t>
    <phoneticPr fontId="1"/>
  </si>
  <si>
    <t>岐阜ピーク</t>
    <rPh sb="0" eb="2">
      <t>ギフ</t>
    </rPh>
    <phoneticPr fontId="1"/>
  </si>
  <si>
    <t>村正</t>
    <rPh sb="0" eb="2">
      <t>ムラマサ</t>
    </rPh>
    <phoneticPr fontId="1"/>
  </si>
  <si>
    <t>クラフトビール</t>
    <phoneticPr fontId="1"/>
  </si>
  <si>
    <t>山崎12年</t>
    <rPh sb="0" eb="2">
      <t>ヤマザキ</t>
    </rPh>
    <rPh sb="4" eb="5">
      <t>ネン</t>
    </rPh>
    <phoneticPr fontId="1"/>
  </si>
  <si>
    <t>白州</t>
    <rPh sb="0" eb="2">
      <t>シラス</t>
    </rPh>
    <phoneticPr fontId="1"/>
  </si>
  <si>
    <t>知多</t>
    <rPh sb="0" eb="2">
      <t>チタ</t>
    </rPh>
    <phoneticPr fontId="1"/>
  </si>
  <si>
    <t>おさるビール</t>
    <phoneticPr fontId="1"/>
  </si>
  <si>
    <t>お酒税抜き</t>
    <rPh sb="1" eb="2">
      <t>サケ</t>
    </rPh>
    <rPh sb="2" eb="4">
      <t>ゼイヌ</t>
    </rPh>
    <phoneticPr fontId="1"/>
  </si>
  <si>
    <t>　　税込み</t>
    <rPh sb="2" eb="4">
      <t>ゼイコ</t>
    </rPh>
    <phoneticPr fontId="1"/>
  </si>
  <si>
    <t>合計（税込み）</t>
    <rPh sb="0" eb="2">
      <t>ゴウケイ</t>
    </rPh>
    <rPh sb="3" eb="5">
      <t>ゼイコ</t>
    </rPh>
    <phoneticPr fontId="1"/>
  </si>
  <si>
    <t>プレミアムアルコールフリー</t>
  </si>
  <si>
    <t>パンチレモン</t>
    <phoneticPr fontId="1"/>
  </si>
  <si>
    <t>レモンエード</t>
    <phoneticPr fontId="1"/>
  </si>
  <si>
    <t>ゆずみつエード</t>
    <phoneticPr fontId="1"/>
  </si>
  <si>
    <t>はとらずりんご</t>
    <phoneticPr fontId="1"/>
  </si>
  <si>
    <t>緑茶ｐ</t>
    <rPh sb="0" eb="2">
      <t>リョクチャ</t>
    </rPh>
    <phoneticPr fontId="1"/>
  </si>
  <si>
    <t>紅茶</t>
    <rPh sb="0" eb="2">
      <t>コウチャ</t>
    </rPh>
    <phoneticPr fontId="1"/>
  </si>
  <si>
    <t>コーラ</t>
    <phoneticPr fontId="1"/>
  </si>
  <si>
    <t>ジンジャーエール</t>
    <phoneticPr fontId="1"/>
  </si>
  <si>
    <t>トニックウォーター</t>
    <phoneticPr fontId="1"/>
  </si>
  <si>
    <t>辛口ジンジャーエール</t>
    <rPh sb="0" eb="2">
      <t>カラクチ</t>
    </rPh>
    <phoneticPr fontId="1"/>
  </si>
  <si>
    <t>黒烏龍茶</t>
    <rPh sb="0" eb="1">
      <t>クロ</t>
    </rPh>
    <rPh sb="1" eb="4">
      <t>ウーロンチャ</t>
    </rPh>
    <phoneticPr fontId="1"/>
  </si>
  <si>
    <t>烏龍茶</t>
    <rPh sb="0" eb="3">
      <t>ウーロンチャ</t>
    </rPh>
    <phoneticPr fontId="1"/>
  </si>
  <si>
    <t>ほうじ茶</t>
    <rPh sb="3" eb="4">
      <t>チャ</t>
    </rPh>
    <phoneticPr fontId="1"/>
  </si>
  <si>
    <t>ジャスミン茶</t>
    <rPh sb="5" eb="6">
      <t>チャ</t>
    </rPh>
    <phoneticPr fontId="1"/>
  </si>
  <si>
    <t>緑茶</t>
    <rPh sb="0" eb="2">
      <t>リョクチャ</t>
    </rPh>
    <phoneticPr fontId="1"/>
  </si>
  <si>
    <t>ほうじ茶1L</t>
    <rPh sb="3" eb="4">
      <t>チャ</t>
    </rPh>
    <phoneticPr fontId="1"/>
  </si>
  <si>
    <t>税抜き　</t>
    <rPh sb="0" eb="2">
      <t>ゼイヌ</t>
    </rPh>
    <phoneticPr fontId="1"/>
  </si>
  <si>
    <t>税込み（0.8％）</t>
    <rPh sb="0" eb="2">
      <t>ゼイコ</t>
    </rPh>
    <phoneticPr fontId="1"/>
  </si>
  <si>
    <t>単価</t>
  </si>
  <si>
    <t>原価</t>
  </si>
  <si>
    <t>軟骨１パック390ｇ10本入り</t>
  </si>
  <si>
    <t>ハツ元１箱600g20本入り</t>
  </si>
  <si>
    <t>ハツ１箱1200ｇ30本入り</t>
  </si>
  <si>
    <t>砂肝１箱1.5㎏50本入り</t>
  </si>
  <si>
    <t>鶏皮１箱1.5㎏50本入り</t>
  </si>
  <si>
    <t>鶏皮（加工）</t>
  </si>
  <si>
    <t>黒酢手羽煮（加工）</t>
    <rPh sb="0" eb="2">
      <t>クロズ</t>
    </rPh>
    <rPh sb="2" eb="5">
      <t>テバニ</t>
    </rPh>
    <rPh sb="6" eb="8">
      <t>カコウ</t>
    </rPh>
    <phoneticPr fontId="3"/>
  </si>
  <si>
    <t>白子（加工）５３ｇ</t>
  </si>
  <si>
    <t>バケット（加工）１食分</t>
  </si>
  <si>
    <t>アスパラ春巻き（加工）</t>
  </si>
  <si>
    <t>トウモロコシ（加工）</t>
  </si>
  <si>
    <t>棒棒鶏（加工）</t>
  </si>
  <si>
    <t>レバーパテ（加工）</t>
  </si>
  <si>
    <t>せせり（加工）</t>
    <rPh sb="4" eb="6">
      <t>カコウ</t>
    </rPh>
    <phoneticPr fontId="1"/>
  </si>
  <si>
    <t>山芋キムチ（加工）</t>
    <rPh sb="0" eb="2">
      <t>ヤマイモ</t>
    </rPh>
    <rPh sb="6" eb="8">
      <t>カコウ</t>
    </rPh>
    <phoneticPr fontId="1"/>
  </si>
  <si>
    <t>レバーオイル漬け（加工）</t>
    <rPh sb="6" eb="7">
      <t>ヅ</t>
    </rPh>
    <rPh sb="9" eb="11">
      <t>カコウ</t>
    </rPh>
    <phoneticPr fontId="1"/>
  </si>
  <si>
    <t>紅ズワイ蟹のトマトクリーム</t>
    <rPh sb="0" eb="1">
      <t>ベニ</t>
    </rPh>
    <rPh sb="4" eb="5">
      <t>ガニ</t>
    </rPh>
    <phoneticPr fontId="1"/>
  </si>
  <si>
    <t>豚角煮</t>
    <rPh sb="0" eb="3">
      <t>ブタカクニ</t>
    </rPh>
    <phoneticPr fontId="1"/>
  </si>
  <si>
    <t>四川タレ</t>
  </si>
  <si>
    <t>ポテサラ（加工）</t>
  </si>
  <si>
    <t>焼き鳥　　もも</t>
    <rPh sb="0" eb="1">
      <t>ヤ</t>
    </rPh>
    <rPh sb="2" eb="3">
      <t>トリ</t>
    </rPh>
    <phoneticPr fontId="1"/>
  </si>
  <si>
    <t>　　　　　　ねぎま</t>
    <phoneticPr fontId="1"/>
  </si>
  <si>
    <t>　　　　　　つくね</t>
    <phoneticPr fontId="1"/>
  </si>
  <si>
    <t>　　　　　　砂肝</t>
    <rPh sb="6" eb="8">
      <t>スナギモ</t>
    </rPh>
    <phoneticPr fontId="1"/>
  </si>
  <si>
    <t>　　　　　　ハツ</t>
    <phoneticPr fontId="1"/>
  </si>
  <si>
    <t>　　　　　　白レバー</t>
    <rPh sb="6" eb="7">
      <t>シロ</t>
    </rPh>
    <phoneticPr fontId="1"/>
  </si>
  <si>
    <t>1200円/ｋｇ</t>
    <rPh sb="4" eb="5">
      <t>エン</t>
    </rPh>
    <phoneticPr fontId="1"/>
  </si>
  <si>
    <t>　　　　　　軟骨</t>
    <rPh sb="6" eb="8">
      <t>ナンコツ</t>
    </rPh>
    <phoneticPr fontId="1"/>
  </si>
  <si>
    <t>　　　　　　手羽元</t>
    <rPh sb="6" eb="9">
      <t>テバモト</t>
    </rPh>
    <phoneticPr fontId="1"/>
  </si>
  <si>
    <t>　　　　　　こころのこり</t>
    <phoneticPr fontId="1"/>
  </si>
  <si>
    <t>　　　　　　鶏皮</t>
    <rPh sb="6" eb="7">
      <t>トリ</t>
    </rPh>
    <rPh sb="7" eb="8">
      <t>カワ</t>
    </rPh>
    <phoneticPr fontId="1"/>
  </si>
  <si>
    <t>　　　　　　ベーコン卵</t>
    <rPh sb="10" eb="11">
      <t>タマゴ</t>
    </rPh>
    <phoneticPr fontId="1"/>
  </si>
  <si>
    <t>　　　　　　ホタテ</t>
    <phoneticPr fontId="1"/>
  </si>
  <si>
    <t>　　　　　　しいたけ</t>
    <phoneticPr fontId="1"/>
  </si>
  <si>
    <t>玉ねぎ（くし切り）</t>
    <rPh sb="0" eb="1">
      <t>タマ</t>
    </rPh>
    <rPh sb="6" eb="7">
      <t>ギ</t>
    </rPh>
    <phoneticPr fontId="1"/>
  </si>
  <si>
    <t>鴨ラード</t>
  </si>
  <si>
    <t>上白糖</t>
  </si>
  <si>
    <t>鶏がら1kg</t>
  </si>
  <si>
    <t>マスタード865g</t>
  </si>
  <si>
    <t>濃口醤油1.8L</t>
  </si>
  <si>
    <t>ベイリーブス（ホール）100g</t>
  </si>
  <si>
    <t>みりん1.8L</t>
  </si>
  <si>
    <t>おろしにんにく1kg</t>
  </si>
  <si>
    <t>おろししょうが1kg</t>
  </si>
  <si>
    <t>コチュジャン500g</t>
  </si>
  <si>
    <t>料理酒1.8L</t>
  </si>
  <si>
    <t>塩1kg</t>
  </si>
  <si>
    <t>赤ワイン</t>
  </si>
  <si>
    <t>薄口醤油1.8L</t>
  </si>
  <si>
    <t>味の素1kg</t>
  </si>
  <si>
    <t>マヨネーズ　1ｋｇ</t>
  </si>
  <si>
    <t>糸唐辛子</t>
  </si>
  <si>
    <t>パプリカパウダー1kg</t>
  </si>
  <si>
    <t>ブラックペッパー（ホール）400g</t>
  </si>
  <si>
    <t>山椒（ホール）100g</t>
  </si>
  <si>
    <t>柚子胡椒135g</t>
  </si>
  <si>
    <t>ケチャップ1kg</t>
  </si>
  <si>
    <t>白ごま1kg</t>
  </si>
  <si>
    <t>からし300g</t>
  </si>
  <si>
    <t>鷹の爪（輪切り）1kg</t>
  </si>
  <si>
    <t>蜂蜜1kg</t>
  </si>
  <si>
    <t>琉球醤油500ml</t>
  </si>
  <si>
    <t>パセリ80g</t>
  </si>
  <si>
    <t>擦りごま1kg</t>
  </si>
  <si>
    <t>ポン酢1.8L</t>
  </si>
  <si>
    <t>糸かつお100g</t>
  </si>
  <si>
    <t>花かつお500g</t>
  </si>
  <si>
    <t>粒マスタード845g</t>
  </si>
  <si>
    <t>わさび210g</t>
  </si>
  <si>
    <t>冷凍ラーメン</t>
    <rPh sb="0" eb="2">
      <t>レイトウ</t>
    </rPh>
    <phoneticPr fontId="1"/>
  </si>
  <si>
    <t>毛沢東スパイス 200g</t>
  </si>
  <si>
    <t>鍋の返し1.8L</t>
  </si>
  <si>
    <t>日高昆布 1kg</t>
  </si>
  <si>
    <t>鴨ロース（加工）さんちょうめ</t>
    <rPh sb="0" eb="1">
      <t>カモ</t>
    </rPh>
    <rPh sb="5" eb="7">
      <t>カコウ</t>
    </rPh>
    <phoneticPr fontId="1"/>
  </si>
  <si>
    <t>よだれ鶏（加工）さんちょうめ</t>
    <rPh sb="3" eb="4">
      <t>トリ</t>
    </rPh>
    <rPh sb="5" eb="7">
      <t>カコウ</t>
    </rPh>
    <phoneticPr fontId="1"/>
  </si>
  <si>
    <t>韓国風唐辛子　中荒１ｋｇ</t>
  </si>
  <si>
    <t>韓国産唐辛子　粉末１ｋｇ</t>
  </si>
  <si>
    <t>白レバーみるくパテ（加工）</t>
  </si>
  <si>
    <t>フライドガーリック（粒状）５００ｇ</t>
  </si>
  <si>
    <t>棒棒鶏</t>
    <rPh sb="0" eb="3">
      <t>バンバンジー</t>
    </rPh>
    <phoneticPr fontId="1"/>
  </si>
  <si>
    <t>干し海老１ｋｇ</t>
  </si>
  <si>
    <t>クミンパウダー６５ｇ</t>
  </si>
  <si>
    <t>ホルモンタレ（加工）</t>
    <rPh sb="7" eb="9">
      <t>カコウ</t>
    </rPh>
    <phoneticPr fontId="3"/>
  </si>
  <si>
    <t>五香粉１００ｇ</t>
  </si>
  <si>
    <t>一の塩　１ｋｇ</t>
  </si>
  <si>
    <t>回鍋肉たれ（加工）1kg</t>
  </si>
  <si>
    <t>焼きドーナツ</t>
  </si>
  <si>
    <t>もつ鍋の素（加工）１．８L</t>
  </si>
  <si>
    <t>焼き鳥タレ１．８L</t>
  </si>
  <si>
    <t>カニクリームコロッケソース（加工）</t>
    <rPh sb="14" eb="16">
      <t>カコウ</t>
    </rPh>
    <phoneticPr fontId="3"/>
  </si>
  <si>
    <t>唐揚げタレ1.8L</t>
  </si>
  <si>
    <t>鶏レバー煮込みタレ1.8L</t>
  </si>
  <si>
    <t>鶏皮（加工）</t>
    <rPh sb="0" eb="1">
      <t>トリ</t>
    </rPh>
    <rPh sb="1" eb="2">
      <t>カワ</t>
    </rPh>
    <rPh sb="3" eb="5">
      <t>カコウ</t>
    </rPh>
    <phoneticPr fontId="1"/>
  </si>
  <si>
    <t>紅茶チーズケーキ</t>
  </si>
  <si>
    <t>合鴨スライス（加工）</t>
    <rPh sb="0" eb="2">
      <t>アイガモ</t>
    </rPh>
    <rPh sb="7" eb="9">
      <t>カコウ</t>
    </rPh>
    <phoneticPr fontId="1"/>
  </si>
  <si>
    <t>タピオカスターチ１ｋｇ</t>
  </si>
  <si>
    <t>椎茸串（加工）</t>
    <rPh sb="0" eb="2">
      <t>シイタケ</t>
    </rPh>
    <rPh sb="2" eb="3">
      <t>クシ</t>
    </rPh>
    <rPh sb="4" eb="6">
      <t>カコウ</t>
    </rPh>
    <phoneticPr fontId="1"/>
  </si>
  <si>
    <t>コハチ軟骨スープ</t>
    <rPh sb="3" eb="5">
      <t>ナンコツ</t>
    </rPh>
    <phoneticPr fontId="1"/>
  </si>
  <si>
    <t>コハチ鶏ガラスープ</t>
    <rPh sb="3" eb="4">
      <t>トリ</t>
    </rPh>
    <phoneticPr fontId="1"/>
  </si>
  <si>
    <t>コハチ軟骨</t>
    <rPh sb="3" eb="5">
      <t>ナンコツ</t>
    </rPh>
    <phoneticPr fontId="1"/>
  </si>
  <si>
    <t>コハチ豚軟骨　加工前　１ｋｇ</t>
  </si>
  <si>
    <t>コハチ鶏ガラ　加工前</t>
    <rPh sb="3" eb="4">
      <t>トリ</t>
    </rPh>
    <rPh sb="7" eb="9">
      <t>カコウ</t>
    </rPh>
    <rPh sb="9" eb="10">
      <t>マエ</t>
    </rPh>
    <phoneticPr fontId="1"/>
  </si>
  <si>
    <t>すき焼き鍋返し900g</t>
  </si>
  <si>
    <t>よだれ鶏（加工）鶏やま</t>
    <rPh sb="3" eb="4">
      <t>トリ</t>
    </rPh>
    <rPh sb="5" eb="7">
      <t>カコウ</t>
    </rPh>
    <rPh sb="8" eb="9">
      <t>トリ</t>
    </rPh>
    <phoneticPr fontId="1"/>
  </si>
  <si>
    <t>フロランタン</t>
    <rPh sb="3" eb="4">
      <t>チャ</t>
    </rPh>
    <phoneticPr fontId="1"/>
  </si>
  <si>
    <t>さくら色フィアンティーヌ</t>
    <rPh sb="3" eb="4">
      <t>イロ</t>
    </rPh>
    <phoneticPr fontId="1"/>
  </si>
  <si>
    <t>ほうじ茶フロランタン</t>
    <rPh sb="3" eb="4">
      <t>チャ</t>
    </rPh>
    <phoneticPr fontId="1"/>
  </si>
  <si>
    <t>さくらクランチ</t>
    <phoneticPr fontId="1"/>
  </si>
  <si>
    <t>ブラックチョコ</t>
    <phoneticPr fontId="1"/>
  </si>
  <si>
    <t>オーガニックビートロート</t>
    <phoneticPr fontId="1"/>
  </si>
  <si>
    <t>アソートクッキー</t>
    <phoneticPr fontId="1"/>
  </si>
  <si>
    <t>アラザン</t>
    <phoneticPr fontId="1"/>
  </si>
  <si>
    <t>チョコスコーン</t>
    <phoneticPr fontId="1"/>
  </si>
  <si>
    <t>使い切りトッピング　オレンジ</t>
    <rPh sb="0" eb="1">
      <t>ツカ</t>
    </rPh>
    <rPh sb="2" eb="3">
      <t>キ</t>
    </rPh>
    <phoneticPr fontId="1"/>
  </si>
  <si>
    <t>キャラメルナッツスコーン</t>
    <phoneticPr fontId="1"/>
  </si>
  <si>
    <t>使い切りトッピング　ピスタチオ</t>
    <rPh sb="0" eb="1">
      <t>ツカ</t>
    </rPh>
    <rPh sb="2" eb="3">
      <t>キ</t>
    </rPh>
    <phoneticPr fontId="1"/>
  </si>
  <si>
    <t>グリーンティースコーン</t>
    <phoneticPr fontId="1"/>
  </si>
  <si>
    <t>カラースプレー100g</t>
    <phoneticPr fontId="1"/>
  </si>
  <si>
    <t>マロンブラウニー</t>
    <phoneticPr fontId="1"/>
  </si>
  <si>
    <t>カラー星</t>
    <rPh sb="3" eb="4">
      <t>ホシ</t>
    </rPh>
    <phoneticPr fontId="1"/>
  </si>
  <si>
    <t>チョコマシュマロチャンク（ココア）</t>
    <phoneticPr fontId="1"/>
  </si>
  <si>
    <t>紫いもパウダー</t>
    <rPh sb="0" eb="1">
      <t>ムラサキ</t>
    </rPh>
    <phoneticPr fontId="1"/>
  </si>
  <si>
    <t>抹茶ホワイトチョコチャンク</t>
    <rPh sb="0" eb="2">
      <t>マッチャ</t>
    </rPh>
    <phoneticPr fontId="1"/>
  </si>
  <si>
    <t>アーモンドパウダー1kg</t>
    <phoneticPr fontId="1"/>
  </si>
  <si>
    <t>ストロベリーチャンク</t>
  </si>
  <si>
    <t>粉糖（上用）1000ｇ</t>
    <rPh sb="0" eb="2">
      <t>フントウ</t>
    </rPh>
    <rPh sb="3" eb="4">
      <t>ウエ</t>
    </rPh>
    <rPh sb="4" eb="5">
      <t>ヨウ</t>
    </rPh>
    <phoneticPr fontId="1"/>
  </si>
  <si>
    <t>カルピス</t>
    <phoneticPr fontId="1"/>
  </si>
  <si>
    <t>粉糖1000ｇ</t>
    <rPh sb="0" eb="2">
      <t>フントウ</t>
    </rPh>
    <phoneticPr fontId="1"/>
  </si>
  <si>
    <t>瀬戸内レモン500ml</t>
    <rPh sb="0" eb="3">
      <t>セトウチ</t>
    </rPh>
    <phoneticPr fontId="1"/>
  </si>
  <si>
    <t>きび砂糖750g</t>
    <rPh sb="2" eb="4">
      <t>サトウ</t>
    </rPh>
    <phoneticPr fontId="1"/>
  </si>
  <si>
    <t>炭酸水</t>
    <rPh sb="0" eb="3">
      <t>タンサンスイ</t>
    </rPh>
    <phoneticPr fontId="1"/>
  </si>
  <si>
    <t>強力粉1kg</t>
    <rPh sb="0" eb="3">
      <t>キョウリキコ</t>
    </rPh>
    <phoneticPr fontId="1"/>
  </si>
  <si>
    <t>水</t>
    <rPh sb="0" eb="1">
      <t>ミズ</t>
    </rPh>
    <phoneticPr fontId="1"/>
  </si>
  <si>
    <t>トレハパウダー2kg</t>
    <phoneticPr fontId="1"/>
  </si>
  <si>
    <t>牛乳1l</t>
    <rPh sb="0" eb="2">
      <t>ギュウニュウ</t>
    </rPh>
    <phoneticPr fontId="1"/>
  </si>
  <si>
    <t>グラニュー糖1000g</t>
    <rPh sb="5" eb="6">
      <t>トウ</t>
    </rPh>
    <phoneticPr fontId="1"/>
  </si>
  <si>
    <t>アイスコーヒー1000ml</t>
    <phoneticPr fontId="1"/>
  </si>
  <si>
    <t>一の塩1kg</t>
    <rPh sb="0" eb="1">
      <t>1</t>
    </rPh>
    <rPh sb="2" eb="3">
      <t>シオ</t>
    </rPh>
    <phoneticPr fontId="1"/>
  </si>
  <si>
    <t>生クリーム（冷蔵）1L</t>
    <rPh sb="0" eb="1">
      <t>ナマ</t>
    </rPh>
    <rPh sb="6" eb="8">
      <t>レイゾウ</t>
    </rPh>
    <phoneticPr fontId="1"/>
  </si>
  <si>
    <t>天日湖塩1kg</t>
    <rPh sb="0" eb="2">
      <t>テンピ</t>
    </rPh>
    <rPh sb="2" eb="3">
      <t>コ</t>
    </rPh>
    <rPh sb="3" eb="4">
      <t>シオ</t>
    </rPh>
    <phoneticPr fontId="1"/>
  </si>
  <si>
    <t>生クリーム（冷凍）1L</t>
    <rPh sb="0" eb="1">
      <t>ナマ</t>
    </rPh>
    <rPh sb="6" eb="8">
      <t>レイトウ</t>
    </rPh>
    <phoneticPr fontId="1"/>
  </si>
  <si>
    <t>ポピーシード20g</t>
    <phoneticPr fontId="1"/>
  </si>
  <si>
    <t>ホワイトチップ1kg</t>
    <phoneticPr fontId="1"/>
  </si>
  <si>
    <t>コーンスターチ1kg</t>
    <phoneticPr fontId="1"/>
  </si>
  <si>
    <t>チョコチップ500g</t>
    <phoneticPr fontId="1"/>
  </si>
  <si>
    <t>ゼラチン</t>
    <phoneticPr fontId="1"/>
  </si>
  <si>
    <t>ホワイトチョコソース</t>
    <phoneticPr fontId="1"/>
  </si>
  <si>
    <t>けしの実</t>
    <rPh sb="3" eb="4">
      <t>ミ</t>
    </rPh>
    <phoneticPr fontId="1"/>
  </si>
  <si>
    <t>ブラックココア1kg</t>
    <phoneticPr fontId="1"/>
  </si>
  <si>
    <t>黒ゴマ</t>
    <rPh sb="0" eb="1">
      <t>クロ</t>
    </rPh>
    <phoneticPr fontId="1"/>
  </si>
  <si>
    <t>紅茶葉</t>
    <rPh sb="0" eb="3">
      <t>コウチャバ</t>
    </rPh>
    <phoneticPr fontId="1"/>
  </si>
  <si>
    <t>アップル2kg</t>
    <phoneticPr fontId="1"/>
  </si>
  <si>
    <t>ラムダーク</t>
    <phoneticPr fontId="1"/>
  </si>
  <si>
    <t>あんず</t>
    <phoneticPr fontId="1"/>
  </si>
  <si>
    <t>クコの実8g</t>
    <rPh sb="3" eb="4">
      <t>ミ</t>
    </rPh>
    <phoneticPr fontId="1"/>
  </si>
  <si>
    <t>パンプキンシード40g</t>
    <phoneticPr fontId="1"/>
  </si>
  <si>
    <t>かぼちゃパウダー25g</t>
    <phoneticPr fontId="1"/>
  </si>
  <si>
    <t>ピスタチオダイス10g</t>
    <phoneticPr fontId="1"/>
  </si>
  <si>
    <t>いちごパウダー30g</t>
    <phoneticPr fontId="1"/>
  </si>
  <si>
    <t>ココナッツオイル360g</t>
    <phoneticPr fontId="1"/>
  </si>
  <si>
    <t>インスタントコーヒー</t>
    <phoneticPr fontId="1"/>
  </si>
  <si>
    <t>キャノーラ油1500g</t>
    <rPh sb="5" eb="6">
      <t>アブラ</t>
    </rPh>
    <phoneticPr fontId="1"/>
  </si>
  <si>
    <t>カルダモン250g</t>
    <phoneticPr fontId="1"/>
  </si>
  <si>
    <t>太白胡麻油1650g</t>
    <phoneticPr fontId="1"/>
  </si>
  <si>
    <t>紅茶フレーバー30ml</t>
    <rPh sb="0" eb="2">
      <t>コウチャ</t>
    </rPh>
    <phoneticPr fontId="1"/>
  </si>
  <si>
    <t>ふすま200ｇ</t>
    <phoneticPr fontId="1"/>
  </si>
  <si>
    <t>バニラエッセンス30ml</t>
    <phoneticPr fontId="1"/>
  </si>
  <si>
    <t>ドライクランベリー500g</t>
    <phoneticPr fontId="1"/>
  </si>
  <si>
    <t>食紅（紅）</t>
    <rPh sb="0" eb="2">
      <t>ショクベニ</t>
    </rPh>
    <rPh sb="3" eb="4">
      <t>ベニ</t>
    </rPh>
    <phoneticPr fontId="1"/>
  </si>
  <si>
    <t>トリプルナイロン規格袋開封済み</t>
    <rPh sb="8" eb="10">
      <t>キカク</t>
    </rPh>
    <rPh sb="10" eb="11">
      <t>フクロ</t>
    </rPh>
    <rPh sb="11" eb="14">
      <t>カイフウズ</t>
    </rPh>
    <phoneticPr fontId="1"/>
  </si>
  <si>
    <t>　　　（赤）5.5g</t>
    <phoneticPr fontId="1"/>
  </si>
  <si>
    <t>　　　　　　　　　　　　　未開封</t>
    <rPh sb="13" eb="16">
      <t>ミカイフウ</t>
    </rPh>
    <phoneticPr fontId="1"/>
  </si>
  <si>
    <t>　　　（黄）</t>
    <rPh sb="4" eb="5">
      <t>キ</t>
    </rPh>
    <phoneticPr fontId="1"/>
  </si>
  <si>
    <t>脱酸素剤</t>
    <rPh sb="0" eb="1">
      <t>ダツ</t>
    </rPh>
    <rPh sb="1" eb="3">
      <t>サンソ</t>
    </rPh>
    <rPh sb="3" eb="4">
      <t>ザイ</t>
    </rPh>
    <phoneticPr fontId="1"/>
  </si>
  <si>
    <t>　　　（緑）</t>
    <rPh sb="4" eb="5">
      <t>ミドリ</t>
    </rPh>
    <phoneticPr fontId="1"/>
  </si>
  <si>
    <t>シートドライヤー</t>
    <phoneticPr fontId="1"/>
  </si>
  <si>
    <t>TriPot焼き用シール</t>
    <rPh sb="6" eb="7">
      <t>ヤ</t>
    </rPh>
    <rPh sb="8" eb="9">
      <t>ヨウ</t>
    </rPh>
    <phoneticPr fontId="1"/>
  </si>
  <si>
    <t>玄米コーヒーパウダー100g</t>
    <rPh sb="0" eb="2">
      <t>ゲンマイ</t>
    </rPh>
    <phoneticPr fontId="1"/>
  </si>
  <si>
    <t>コットンひも</t>
    <phoneticPr fontId="1"/>
  </si>
  <si>
    <t>マシュマロ90g</t>
    <phoneticPr fontId="1"/>
  </si>
  <si>
    <t>バーコード袋（小）</t>
    <rPh sb="5" eb="6">
      <t>フクロ</t>
    </rPh>
    <rPh sb="7" eb="8">
      <t>ショウ</t>
    </rPh>
    <phoneticPr fontId="1"/>
  </si>
  <si>
    <t>グラハムクッキー330g</t>
    <phoneticPr fontId="1"/>
  </si>
  <si>
    <t>バーコード袋（大）</t>
    <rPh sb="5" eb="6">
      <t>フクロ</t>
    </rPh>
    <rPh sb="7" eb="8">
      <t>ダイ</t>
    </rPh>
    <phoneticPr fontId="1"/>
  </si>
  <si>
    <t>ロータスクッキー50枚</t>
    <rPh sb="10" eb="11">
      <t>マイ</t>
    </rPh>
    <phoneticPr fontId="1"/>
  </si>
  <si>
    <t>合掌ガゼット</t>
    <rPh sb="0" eb="2">
      <t>ガッショウ</t>
    </rPh>
    <phoneticPr fontId="1"/>
  </si>
  <si>
    <t>オレオクッキー10枚</t>
    <rPh sb="9" eb="10">
      <t>マイ</t>
    </rPh>
    <phoneticPr fontId="1"/>
  </si>
  <si>
    <t>6箱＋158ｇ</t>
    <rPh sb="1" eb="2">
      <t>ハコ</t>
    </rPh>
    <phoneticPr fontId="1"/>
  </si>
  <si>
    <t>黒ふた（R)</t>
    <rPh sb="0" eb="1">
      <t>クロ</t>
    </rPh>
    <phoneticPr fontId="1"/>
  </si>
  <si>
    <t>ドライオレンジ300g</t>
    <phoneticPr fontId="1"/>
  </si>
  <si>
    <t>黒ふた（L)</t>
    <rPh sb="0" eb="1">
      <t>クロ</t>
    </rPh>
    <phoneticPr fontId="1"/>
  </si>
  <si>
    <t>バナナチップ4kg</t>
    <phoneticPr fontId="1"/>
  </si>
  <si>
    <t>スリーブ（R)</t>
    <phoneticPr fontId="1"/>
  </si>
  <si>
    <t>はちみつ1000g</t>
    <phoneticPr fontId="1"/>
  </si>
  <si>
    <t>スリーブ（L）</t>
    <phoneticPr fontId="1"/>
  </si>
  <si>
    <t>マンゴーソース1000ml</t>
    <phoneticPr fontId="1"/>
  </si>
  <si>
    <t>ホットカップ（R)</t>
    <phoneticPr fontId="1"/>
  </si>
  <si>
    <t>ストロベリーソース1000ml</t>
    <phoneticPr fontId="1"/>
  </si>
  <si>
    <t>ホットカップ（L)</t>
    <phoneticPr fontId="1"/>
  </si>
  <si>
    <t>ラズベリーソース1000ml</t>
    <phoneticPr fontId="1"/>
  </si>
  <si>
    <t>シェイクのふた</t>
    <phoneticPr fontId="1"/>
  </si>
  <si>
    <t>抹茶ソース500g</t>
    <rPh sb="0" eb="2">
      <t>マッチャ</t>
    </rPh>
    <phoneticPr fontId="1"/>
  </si>
  <si>
    <t>おしぼり（紙）</t>
    <rPh sb="5" eb="6">
      <t>カミ</t>
    </rPh>
    <phoneticPr fontId="1"/>
  </si>
  <si>
    <t>キャラメルソース1890ml</t>
    <phoneticPr fontId="1"/>
  </si>
  <si>
    <t>紙ナプキン</t>
    <rPh sb="0" eb="1">
      <t>カミ</t>
    </rPh>
    <phoneticPr fontId="1"/>
  </si>
  <si>
    <t>チョコソース1890ml</t>
    <phoneticPr fontId="1"/>
  </si>
  <si>
    <t>マチあり紙袋</t>
    <rPh sb="4" eb="6">
      <t>カミブクロ</t>
    </rPh>
    <phoneticPr fontId="1"/>
  </si>
  <si>
    <t>紅茶ソース1kg</t>
    <rPh sb="0" eb="2">
      <t>コウチャ</t>
    </rPh>
    <phoneticPr fontId="1"/>
  </si>
  <si>
    <t>マチなし紙袋</t>
    <rPh sb="4" eb="6">
      <t>カミブクロ</t>
    </rPh>
    <phoneticPr fontId="1"/>
  </si>
  <si>
    <t>ほうじ茶ソース300ml</t>
    <rPh sb="3" eb="4">
      <t>チャ</t>
    </rPh>
    <phoneticPr fontId="1"/>
  </si>
  <si>
    <t>バーガー袋</t>
    <rPh sb="4" eb="5">
      <t>フクロ</t>
    </rPh>
    <phoneticPr fontId="1"/>
  </si>
  <si>
    <t>マドラー</t>
    <phoneticPr fontId="1"/>
  </si>
  <si>
    <t>シュガーシロップ1288g</t>
    <phoneticPr fontId="1"/>
  </si>
  <si>
    <t>タピオカストロー</t>
    <phoneticPr fontId="1"/>
  </si>
  <si>
    <t>マスタード1100g</t>
    <phoneticPr fontId="1"/>
  </si>
  <si>
    <t>ストロー</t>
    <phoneticPr fontId="1"/>
  </si>
  <si>
    <t>マヨネーズ1kg</t>
    <phoneticPr fontId="1"/>
  </si>
  <si>
    <t>スプーン</t>
    <phoneticPr fontId="1"/>
  </si>
  <si>
    <t>きび砂糖（ブリュレ用）750g</t>
    <rPh sb="2" eb="4">
      <t>ザトウ</t>
    </rPh>
    <rPh sb="9" eb="10">
      <t>ヨウ</t>
    </rPh>
    <phoneticPr fontId="1"/>
  </si>
  <si>
    <t>ゴミ袋　45L</t>
    <rPh sb="2" eb="3">
      <t>ブクロ</t>
    </rPh>
    <phoneticPr fontId="1"/>
  </si>
  <si>
    <t>カウンタークロス</t>
    <phoneticPr fontId="1"/>
  </si>
  <si>
    <t>　　　　70L</t>
    <phoneticPr fontId="1"/>
  </si>
  <si>
    <t>アルミテープ</t>
    <phoneticPr fontId="1"/>
  </si>
  <si>
    <t>キャラメリゼアーモンド</t>
    <phoneticPr fontId="1"/>
  </si>
  <si>
    <t>ウタマロ（詰め替え）</t>
    <rPh sb="5" eb="6">
      <t>ツ</t>
    </rPh>
    <rPh sb="7" eb="8">
      <t>カ</t>
    </rPh>
    <phoneticPr fontId="1"/>
  </si>
  <si>
    <t>キャラメリゼくるみ</t>
    <phoneticPr fontId="1"/>
  </si>
  <si>
    <t>ポットクリーナー</t>
    <phoneticPr fontId="1"/>
  </si>
  <si>
    <t>素焼きアーモンド</t>
    <rPh sb="0" eb="2">
      <t>スヤ</t>
    </rPh>
    <phoneticPr fontId="1"/>
  </si>
  <si>
    <t>スポンジ（大）</t>
    <rPh sb="5" eb="6">
      <t>ダイ</t>
    </rPh>
    <phoneticPr fontId="1"/>
  </si>
  <si>
    <t>素焼きスライスアーモンド1000g</t>
    <rPh sb="0" eb="2">
      <t>スヤ</t>
    </rPh>
    <phoneticPr fontId="1"/>
  </si>
  <si>
    <t>　　　　　（小）</t>
    <rPh sb="6" eb="7">
      <t>ショウ</t>
    </rPh>
    <phoneticPr fontId="1"/>
  </si>
  <si>
    <t>白ごま</t>
    <rPh sb="0" eb="1">
      <t>シロ</t>
    </rPh>
    <phoneticPr fontId="1"/>
  </si>
  <si>
    <t>水切り袋</t>
    <rPh sb="0" eb="2">
      <t>ミズキ</t>
    </rPh>
    <rPh sb="3" eb="4">
      <t>フクロ</t>
    </rPh>
    <phoneticPr fontId="1"/>
  </si>
  <si>
    <t>ピスタチオプードル</t>
    <phoneticPr fontId="1"/>
  </si>
  <si>
    <t>洗浄タブレット</t>
    <rPh sb="0" eb="2">
      <t>センジョウ</t>
    </rPh>
    <phoneticPr fontId="1"/>
  </si>
  <si>
    <t>角砂糖</t>
    <rPh sb="0" eb="1">
      <t>カク</t>
    </rPh>
    <rPh sb="1" eb="3">
      <t>サトウ</t>
    </rPh>
    <phoneticPr fontId="1"/>
  </si>
  <si>
    <t>ガムテープ</t>
    <phoneticPr fontId="1"/>
  </si>
  <si>
    <t>ココナッツシュガー350g</t>
    <phoneticPr fontId="1"/>
  </si>
  <si>
    <t>激落ちくん</t>
    <rPh sb="0" eb="2">
      <t>ゲキオ</t>
    </rPh>
    <phoneticPr fontId="1"/>
  </si>
  <si>
    <t>シナモン</t>
    <phoneticPr fontId="1"/>
  </si>
  <si>
    <t>ラップ　22×100</t>
    <phoneticPr fontId="1"/>
  </si>
  <si>
    <t>ラズベリー顆粒20g</t>
    <rPh sb="5" eb="7">
      <t>カリュウ</t>
    </rPh>
    <phoneticPr fontId="1"/>
  </si>
  <si>
    <t>　　　　30×100</t>
    <phoneticPr fontId="1"/>
  </si>
  <si>
    <t>抹茶パウダー100g</t>
  </si>
  <si>
    <t>　　　　45×50</t>
    <phoneticPr fontId="1"/>
  </si>
  <si>
    <t>ほうじ茶パウダー２５０g</t>
  </si>
  <si>
    <t>クッキングシート</t>
    <phoneticPr fontId="1"/>
  </si>
  <si>
    <t>ココアパウダー1kg</t>
    <phoneticPr fontId="1"/>
  </si>
  <si>
    <t>ストックバックM</t>
    <phoneticPr fontId="1"/>
  </si>
  <si>
    <t>ブリザードバックダブルジッパー</t>
    <phoneticPr fontId="1"/>
  </si>
  <si>
    <t>包装用緩衝材（紙）</t>
    <rPh sb="0" eb="3">
      <t>ホウソウヨウ</t>
    </rPh>
    <rPh sb="3" eb="6">
      <t>カンショウザイ</t>
    </rPh>
    <rPh sb="7" eb="8">
      <t>カミ</t>
    </rPh>
    <phoneticPr fontId="1"/>
  </si>
  <si>
    <t>ブリザードバックL</t>
    <phoneticPr fontId="1"/>
  </si>
  <si>
    <t>紙テープ　（黒）</t>
    <rPh sb="0" eb="1">
      <t>カミ</t>
    </rPh>
    <rPh sb="6" eb="7">
      <t>クロ</t>
    </rPh>
    <phoneticPr fontId="1"/>
  </si>
  <si>
    <t>カプチーノウォマー</t>
    <phoneticPr fontId="1"/>
  </si>
  <si>
    <t>　　　　　　（白）</t>
    <rPh sb="7" eb="8">
      <t>シロ</t>
    </rPh>
    <phoneticPr fontId="1"/>
  </si>
  <si>
    <t>紙皿</t>
    <rPh sb="0" eb="2">
      <t>カミザラ</t>
    </rPh>
    <phoneticPr fontId="1"/>
  </si>
  <si>
    <t>ギフトBOX（大）</t>
    <rPh sb="7" eb="8">
      <t>ダイ</t>
    </rPh>
    <phoneticPr fontId="1"/>
  </si>
  <si>
    <t>オートミール</t>
    <phoneticPr fontId="1"/>
  </si>
  <si>
    <t>真空袋</t>
    <rPh sb="0" eb="2">
      <t>シンクウ</t>
    </rPh>
    <rPh sb="2" eb="3">
      <t>フクロ</t>
    </rPh>
    <phoneticPr fontId="1"/>
  </si>
  <si>
    <t>しぼり口</t>
    <rPh sb="3" eb="4">
      <t>クチ</t>
    </rPh>
    <phoneticPr fontId="1"/>
  </si>
  <si>
    <t>薄力粉1kg</t>
    <rPh sb="0" eb="3">
      <t>ハクリキコ</t>
    </rPh>
    <phoneticPr fontId="1"/>
  </si>
  <si>
    <t>絞り袋</t>
    <rPh sb="0" eb="1">
      <t>シボ</t>
    </rPh>
    <rPh sb="2" eb="3">
      <t>フクロ</t>
    </rPh>
    <phoneticPr fontId="1"/>
  </si>
  <si>
    <t>クレープ粉（半量）</t>
    <rPh sb="4" eb="5">
      <t>コ</t>
    </rPh>
    <rPh sb="6" eb="8">
      <t>ハンリョウ</t>
    </rPh>
    <phoneticPr fontId="1"/>
  </si>
  <si>
    <t>ビニール手袋　S</t>
    <rPh sb="4" eb="6">
      <t>テブクロ</t>
    </rPh>
    <phoneticPr fontId="1"/>
  </si>
  <si>
    <t>　　　　　　（全量）</t>
    <rPh sb="7" eb="9">
      <t>ゼンリョウ</t>
    </rPh>
    <phoneticPr fontId="1"/>
  </si>
  <si>
    <t>　　　　　　　　M</t>
    <phoneticPr fontId="1"/>
  </si>
  <si>
    <t>エスプーマガス</t>
    <phoneticPr fontId="1"/>
  </si>
  <si>
    <t>レジロール</t>
    <phoneticPr fontId="1"/>
  </si>
  <si>
    <t>アイスドリンクふた</t>
    <phoneticPr fontId="1"/>
  </si>
  <si>
    <t>ドリンク用スパイスミックス</t>
    <rPh sb="4" eb="5">
      <t>ヨウ</t>
    </rPh>
    <phoneticPr fontId="1"/>
  </si>
  <si>
    <t>アイスドリンクカップ</t>
    <phoneticPr fontId="1"/>
  </si>
  <si>
    <t>スプーンフォーク</t>
    <phoneticPr fontId="1"/>
  </si>
  <si>
    <t>除菌アルコール5L</t>
    <rPh sb="0" eb="2">
      <t>ジョキン</t>
    </rPh>
    <phoneticPr fontId="1"/>
  </si>
  <si>
    <t>桂皮シナモン</t>
    <rPh sb="0" eb="1">
      <t>カツラ</t>
    </rPh>
    <rPh sb="1" eb="2">
      <t>カワ</t>
    </rPh>
    <phoneticPr fontId="1"/>
  </si>
  <si>
    <t>中性洗剤5ｋｇ</t>
    <rPh sb="0" eb="4">
      <t>チュウセイセンザイ</t>
    </rPh>
    <phoneticPr fontId="1"/>
  </si>
  <si>
    <t>クエン酸</t>
    <rPh sb="3" eb="4">
      <t>サン</t>
    </rPh>
    <phoneticPr fontId="1"/>
  </si>
  <si>
    <t>キッチンブリーチ</t>
    <phoneticPr fontId="1"/>
  </si>
  <si>
    <t>シエラカップ　（大）</t>
    <rPh sb="8" eb="9">
      <t>ダイ</t>
    </rPh>
    <phoneticPr fontId="1"/>
  </si>
  <si>
    <t>ハンドソープ</t>
    <phoneticPr fontId="1"/>
  </si>
  <si>
    <t>　　　　　　　　（小）</t>
    <rPh sb="9" eb="10">
      <t>ショウ</t>
    </rPh>
    <phoneticPr fontId="1"/>
  </si>
  <si>
    <t>殺虫スプレー</t>
    <rPh sb="0" eb="2">
      <t>サッチュウ</t>
    </rPh>
    <phoneticPr fontId="1"/>
  </si>
  <si>
    <t>シエラカップケース</t>
    <phoneticPr fontId="1"/>
  </si>
  <si>
    <t>ゴキブリホイホイ</t>
    <phoneticPr fontId="1"/>
  </si>
  <si>
    <t>トートバック</t>
    <phoneticPr fontId="1"/>
  </si>
  <si>
    <t>レンジスターストロング</t>
    <phoneticPr fontId="1"/>
  </si>
  <si>
    <t>ドリンクホルダー（大）</t>
    <rPh sb="9" eb="10">
      <t>ダイ</t>
    </rPh>
    <phoneticPr fontId="1"/>
  </si>
  <si>
    <t>クイックルハンディ</t>
    <phoneticPr fontId="1"/>
  </si>
  <si>
    <t>　　　　　　　　　（小）</t>
    <rPh sb="10" eb="11">
      <t>ショウ</t>
    </rPh>
    <phoneticPr fontId="1"/>
  </si>
  <si>
    <t>　　　　　　　　　　詰め替え</t>
    <rPh sb="10" eb="11">
      <t>ツ</t>
    </rPh>
    <rPh sb="12" eb="13">
      <t>カ</t>
    </rPh>
    <phoneticPr fontId="1"/>
  </si>
  <si>
    <t>おしぼり布</t>
    <rPh sb="4" eb="5">
      <t>ヌノ</t>
    </rPh>
    <phoneticPr fontId="1"/>
  </si>
  <si>
    <t>トイレットペーパー</t>
    <phoneticPr fontId="1"/>
  </si>
  <si>
    <t>クレープ紙用シール</t>
    <rPh sb="4" eb="5">
      <t>シ</t>
    </rPh>
    <rPh sb="5" eb="6">
      <t>ヨウ</t>
    </rPh>
    <phoneticPr fontId="1"/>
  </si>
  <si>
    <t>ペットシーツ</t>
    <phoneticPr fontId="1"/>
  </si>
  <si>
    <t>トライポットカード</t>
    <phoneticPr fontId="1"/>
  </si>
  <si>
    <t>ポリ袋　黒</t>
    <phoneticPr fontId="1"/>
  </si>
  <si>
    <t>オリジナルステッカー　四角</t>
    <rPh sb="11" eb="13">
      <t>シカク</t>
    </rPh>
    <phoneticPr fontId="1"/>
  </si>
  <si>
    <t>ハンドソープ（トイレ）</t>
    <phoneticPr fontId="1"/>
  </si>
  <si>
    <t>　　　　　　　　丸　グレー</t>
    <rPh sb="8" eb="9">
      <t>マル</t>
    </rPh>
    <phoneticPr fontId="1"/>
  </si>
  <si>
    <t>ガラスマッジクリン</t>
    <phoneticPr fontId="1"/>
  </si>
  <si>
    <t>　　　　　　　　丸　クリーム</t>
    <rPh sb="8" eb="9">
      <t>マル</t>
    </rPh>
    <phoneticPr fontId="1"/>
  </si>
  <si>
    <t>アルコール除菌（トイレ）</t>
    <rPh sb="5" eb="7">
      <t>ジョキン</t>
    </rPh>
    <phoneticPr fontId="1"/>
  </si>
  <si>
    <t>　　　　　　　　丸　ブラウン</t>
    <rPh sb="8" eb="9">
      <t>マル</t>
    </rPh>
    <phoneticPr fontId="1"/>
  </si>
  <si>
    <t>流れるトイレブラシ</t>
    <rPh sb="0" eb="1">
      <t>ナガ</t>
    </rPh>
    <phoneticPr fontId="1"/>
  </si>
  <si>
    <t>はぐるま形　</t>
    <rPh sb="4" eb="5">
      <t>カタ</t>
    </rPh>
    <phoneticPr fontId="1"/>
  </si>
  <si>
    <t>　　　　　　　　　　　替え</t>
    <rPh sb="11" eb="12">
      <t>カ</t>
    </rPh>
    <phoneticPr fontId="1"/>
  </si>
  <si>
    <t>クレープ紙　クラフト</t>
    <rPh sb="4" eb="5">
      <t>シ</t>
    </rPh>
    <phoneticPr fontId="1"/>
  </si>
  <si>
    <t>超強力トイレクリーナー</t>
    <rPh sb="0" eb="3">
      <t>チョウキョウリョク</t>
    </rPh>
    <phoneticPr fontId="1"/>
  </si>
  <si>
    <t>紙袋　（大）</t>
    <rPh sb="0" eb="2">
      <t>カミブクロ</t>
    </rPh>
    <rPh sb="4" eb="5">
      <t>ダイ</t>
    </rPh>
    <phoneticPr fontId="1"/>
  </si>
  <si>
    <t>　　　　　　　　　詰め替え</t>
    <rPh sb="9" eb="10">
      <t>ツ</t>
    </rPh>
    <rPh sb="11" eb="12">
      <t>カ</t>
    </rPh>
    <phoneticPr fontId="1"/>
  </si>
  <si>
    <t>　　　　（小）</t>
    <rPh sb="5" eb="6">
      <t>ショウ</t>
    </rPh>
    <phoneticPr fontId="1"/>
  </si>
  <si>
    <t>トイレマジックリン</t>
    <phoneticPr fontId="1"/>
  </si>
  <si>
    <t>　　　　（特大）</t>
    <rPh sb="5" eb="7">
      <t>トクダイ</t>
    </rPh>
    <phoneticPr fontId="1"/>
  </si>
  <si>
    <t>　　　　（横長）</t>
    <rPh sb="5" eb="7">
      <t>ヨコナガ</t>
    </rPh>
    <phoneticPr fontId="1"/>
  </si>
  <si>
    <t>紙タオル（エリエール）</t>
    <rPh sb="0" eb="1">
      <t>カミ</t>
    </rPh>
    <phoneticPr fontId="1"/>
  </si>
  <si>
    <t>包装紙</t>
    <rPh sb="0" eb="3">
      <t>ホウソウシ</t>
    </rPh>
    <phoneticPr fontId="1"/>
  </si>
  <si>
    <t>冷凍アメリカンクッキー（プレーン）</t>
    <rPh sb="0" eb="2">
      <t>レイトウ</t>
    </rPh>
    <phoneticPr fontId="1"/>
  </si>
  <si>
    <t>エアクッションシート60×400</t>
    <phoneticPr fontId="1"/>
  </si>
  <si>
    <t>冷凍ブラックチョコ</t>
    <rPh sb="0" eb="2">
      <t>レイトウ</t>
    </rPh>
    <phoneticPr fontId="1"/>
  </si>
  <si>
    <t>組み立てギフトBOX（小）</t>
    <rPh sb="0" eb="1">
      <t>ク</t>
    </rPh>
    <rPh sb="2" eb="3">
      <t>タ</t>
    </rPh>
    <rPh sb="11" eb="12">
      <t>ショウ</t>
    </rPh>
    <phoneticPr fontId="1"/>
  </si>
  <si>
    <t>冷凍レモンクリームチーズ</t>
    <rPh sb="0" eb="2">
      <t>レイトウ</t>
    </rPh>
    <phoneticPr fontId="1"/>
  </si>
  <si>
    <t>オレンジマーマレード（冷凍）320g</t>
    <rPh sb="11" eb="13">
      <t>レイトウ</t>
    </rPh>
    <phoneticPr fontId="1"/>
  </si>
  <si>
    <t>ビーフスライス（解凍）</t>
    <rPh sb="8" eb="10">
      <t>カイトウ</t>
    </rPh>
    <phoneticPr fontId="1"/>
  </si>
  <si>
    <t>モモジャム（冷凍）125g</t>
    <phoneticPr fontId="1"/>
  </si>
  <si>
    <t>オニオンスライス</t>
    <phoneticPr fontId="1"/>
  </si>
  <si>
    <t>いちごジャム（冷凍）320g</t>
    <rPh sb="7" eb="9">
      <t>レイトウ</t>
    </rPh>
    <phoneticPr fontId="1"/>
  </si>
  <si>
    <t>玉ねぎ</t>
    <rPh sb="0" eb="1">
      <t>タマ</t>
    </rPh>
    <phoneticPr fontId="1"/>
  </si>
  <si>
    <t>マンゴージャム（冷凍）250g</t>
    <rPh sb="8" eb="10">
      <t>レイトウ</t>
    </rPh>
    <phoneticPr fontId="1"/>
  </si>
  <si>
    <t>バナナ128</t>
    <phoneticPr fontId="1"/>
  </si>
  <si>
    <t>オレンジジャム（冷凍）250g</t>
    <rPh sb="8" eb="10">
      <t>レイトウ</t>
    </rPh>
    <phoneticPr fontId="1"/>
  </si>
  <si>
    <t>いちご398</t>
    <phoneticPr fontId="1"/>
  </si>
  <si>
    <t>クリームチーズ　1ｋｇ</t>
    <phoneticPr fontId="1"/>
  </si>
  <si>
    <t>フリルレタス</t>
    <phoneticPr fontId="1"/>
  </si>
  <si>
    <t>　　　　　　　　　400ｇ</t>
    <phoneticPr fontId="1"/>
  </si>
  <si>
    <t>タイム</t>
    <phoneticPr fontId="1"/>
  </si>
  <si>
    <t>栗　（冷凍）900g</t>
    <rPh sb="0" eb="1">
      <t>クリ</t>
    </rPh>
    <rPh sb="3" eb="5">
      <t>レイトウ</t>
    </rPh>
    <phoneticPr fontId="1"/>
  </si>
  <si>
    <t>チーズ（冷凍）</t>
    <rPh sb="4" eb="6">
      <t>レイトウ</t>
    </rPh>
    <phoneticPr fontId="1"/>
  </si>
  <si>
    <t>グリーンティースコーン（冷凍）</t>
    <rPh sb="12" eb="14">
      <t>レイトウ</t>
    </rPh>
    <phoneticPr fontId="1"/>
  </si>
  <si>
    <t>　　　　（冷蔵）</t>
    <rPh sb="5" eb="7">
      <t>レイゾウ</t>
    </rPh>
    <phoneticPr fontId="1"/>
  </si>
  <si>
    <t>ドライフルーツティースコーン（冷凍）</t>
    <rPh sb="15" eb="17">
      <t>レイトウ</t>
    </rPh>
    <phoneticPr fontId="1"/>
  </si>
  <si>
    <t>ゆで卵</t>
    <rPh sb="2" eb="3">
      <t>タマゴ</t>
    </rPh>
    <phoneticPr fontId="1"/>
  </si>
  <si>
    <t>クランベリースコーン（冷凍）</t>
    <rPh sb="11" eb="13">
      <t>レイトウ</t>
    </rPh>
    <phoneticPr fontId="1"/>
  </si>
  <si>
    <t>ミント</t>
    <phoneticPr fontId="1"/>
  </si>
  <si>
    <t>チョコレートスコーン（冷凍）</t>
    <rPh sb="11" eb="13">
      <t>レイトウ</t>
    </rPh>
    <phoneticPr fontId="1"/>
  </si>
  <si>
    <t>卵</t>
    <rPh sb="0" eb="1">
      <t>タマゴ</t>
    </rPh>
    <phoneticPr fontId="1"/>
  </si>
  <si>
    <t>キャラメルナッツスコーン（冷凍）</t>
    <rPh sb="13" eb="15">
      <t>レイトウ</t>
    </rPh>
    <phoneticPr fontId="1"/>
  </si>
  <si>
    <t>アソートブラック</t>
    <phoneticPr fontId="1"/>
  </si>
  <si>
    <t>オレンジスライス</t>
    <phoneticPr fontId="1"/>
  </si>
  <si>
    <t>　　　　　ピンク</t>
    <phoneticPr fontId="1"/>
  </si>
  <si>
    <t>ピーチソース200g</t>
    <phoneticPr fontId="1"/>
  </si>
  <si>
    <t>　　　　　紅茶</t>
    <rPh sb="5" eb="7">
      <t>コウチャ</t>
    </rPh>
    <phoneticPr fontId="1"/>
  </si>
  <si>
    <t>クーベルチュールチョコレート1000ｇ</t>
    <phoneticPr fontId="1"/>
  </si>
  <si>
    <t>　　　　　コーヒー</t>
    <phoneticPr fontId="1"/>
  </si>
  <si>
    <t>こしあん100g</t>
    <phoneticPr fontId="1"/>
  </si>
  <si>
    <t>　　　　　ココナッツマーマレード</t>
    <phoneticPr fontId="1"/>
  </si>
  <si>
    <t>ナパージュ200g</t>
    <phoneticPr fontId="1"/>
  </si>
  <si>
    <t>　　　　　抹茶カスタード</t>
    <rPh sb="5" eb="7">
      <t>マッチャ</t>
    </rPh>
    <phoneticPr fontId="1"/>
  </si>
  <si>
    <t>レモン汁450ml</t>
    <rPh sb="3" eb="4">
      <t>ジル</t>
    </rPh>
    <phoneticPr fontId="1"/>
  </si>
  <si>
    <t>　　　　　プレーン</t>
    <phoneticPr fontId="1"/>
  </si>
  <si>
    <t>ホワイトチョコレート</t>
    <phoneticPr fontId="1"/>
  </si>
  <si>
    <t>　　　　　コーヒーマロン</t>
    <phoneticPr fontId="1"/>
  </si>
  <si>
    <t>バター450ｇ</t>
    <phoneticPr fontId="1"/>
  </si>
  <si>
    <t>　　　　　オレオマロン</t>
    <phoneticPr fontId="1"/>
  </si>
  <si>
    <t>カットピーチ（冷凍）200g</t>
    <rPh sb="7" eb="9">
      <t>レイトウ</t>
    </rPh>
    <phoneticPr fontId="1"/>
  </si>
  <si>
    <t>　　　　　オレンジ紅茶</t>
    <rPh sb="9" eb="11">
      <t>コウチャ</t>
    </rPh>
    <phoneticPr fontId="1"/>
  </si>
  <si>
    <t>　　　　　MIXベリー</t>
    <phoneticPr fontId="1"/>
  </si>
  <si>
    <t>チョコミントアイス4L</t>
    <phoneticPr fontId="1"/>
  </si>
  <si>
    <t>　　　　　オレンジピール</t>
    <phoneticPr fontId="1"/>
  </si>
  <si>
    <t>ブルーベリー（冷凍）500g</t>
    <rPh sb="7" eb="9">
      <t>レイトウ</t>
    </rPh>
    <phoneticPr fontId="1"/>
  </si>
  <si>
    <t>　　　　　チーズクリーム</t>
    <phoneticPr fontId="1"/>
  </si>
  <si>
    <t>ミックスベリー（冷凍）500g</t>
    <rPh sb="8" eb="10">
      <t>レイトウ</t>
    </rPh>
    <phoneticPr fontId="1"/>
  </si>
  <si>
    <t>クレープ紙（オリジナル）</t>
    <rPh sb="4" eb="5">
      <t>シ</t>
    </rPh>
    <phoneticPr fontId="1"/>
  </si>
  <si>
    <t>マンゴー（冷凍）500g</t>
    <rPh sb="5" eb="7">
      <t>レイトウ</t>
    </rPh>
    <phoneticPr fontId="1"/>
  </si>
  <si>
    <t>　　　　　　（オリジナル点線なし）</t>
    <rPh sb="12" eb="14">
      <t>テンセン</t>
    </rPh>
    <phoneticPr fontId="1"/>
  </si>
  <si>
    <t>ビーフスライス（冷凍）500g</t>
    <rPh sb="8" eb="10">
      <t>レイトウ</t>
    </rPh>
    <phoneticPr fontId="1"/>
  </si>
  <si>
    <t>無調整豆乳1L</t>
    <rPh sb="0" eb="5">
      <t>ムチョウセイトウニュウ</t>
    </rPh>
    <phoneticPr fontId="1"/>
  </si>
  <si>
    <t>抹茶アイス2L</t>
    <rPh sb="0" eb="2">
      <t>マッチャ</t>
    </rPh>
    <phoneticPr fontId="1"/>
  </si>
  <si>
    <t>コーヒー豆450g</t>
    <rPh sb="4" eb="5">
      <t>マメ</t>
    </rPh>
    <phoneticPr fontId="1"/>
  </si>
  <si>
    <t>レモンスライス500g</t>
    <phoneticPr fontId="1"/>
  </si>
  <si>
    <t>抹茶ホイップ600ml</t>
    <rPh sb="0" eb="2">
      <t>マッチャ</t>
    </rPh>
    <phoneticPr fontId="1"/>
  </si>
  <si>
    <t>チョコホイップ600ml</t>
    <phoneticPr fontId="1"/>
  </si>
  <si>
    <t>シュガードーナツ</t>
    <phoneticPr fontId="1"/>
  </si>
  <si>
    <t>アールグレイ125g</t>
    <phoneticPr fontId="1"/>
  </si>
  <si>
    <t>フレッシュアールグレイ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</si>
</sst>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.00_);[Red]\([$¥-411]#,##0.00\)"/>
  </numFmts>
  <fonts count="1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2"/>
      <color theme="1"/>
      <name val="HGP創英角ｺﾞｼｯｸUB"/>
      <family val="3"/>
      <charset val="128"/>
    </font>
    <font>
      <sz val="22"/>
      <color theme="1"/>
      <name val="HGPｺﾞｼｯｸE"/>
      <family val="3"/>
      <charset val="128"/>
    </font>
    <font>
      <sz val="11"/>
      <color theme="1"/>
      <name val="HGPｺﾞｼｯｸE"/>
      <family val="3"/>
      <charset val="128"/>
    </font>
    <font>
      <sz val="10"/>
      <color theme="1"/>
      <name val="HGPｺﾞｼｯｸE"/>
      <family val="3"/>
      <charset val="128"/>
    </font>
    <font>
      <sz val="11"/>
      <color rgb="FF000000"/>
      <name val="Meiryo UI"/>
      <family val="2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HGSｺﾞｼｯｸE"/>
      <family val="3"/>
      <charset val="128"/>
    </font>
    <font>
      <sz val="11"/>
      <color rgb="FF000000"/>
      <name val="Meiryo UI"/>
      <family val="3"/>
      <charset val="128"/>
    </font>
    <font>
      <sz val="11"/>
      <color theme="1"/>
      <name val="MingLiU"/>
      <family val="3"/>
      <charset val="136"/>
    </font>
    <font>
      <sz val="20"/>
      <color theme="1"/>
      <name val="MingLiU"/>
      <family val="3"/>
      <charset val="136"/>
    </font>
    <font>
      <sz val="11"/>
      <color theme="1"/>
      <name val="MingLiU"/>
      <family val="3"/>
      <charset val="136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38" fontId="9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right"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0" xfId="0" applyFont="1">
      <alignment vertical="center"/>
    </xf>
    <xf numFmtId="0" fontId="6" fillId="0" borderId="2" xfId="0" applyFont="1" applyBorder="1">
      <alignment vertical="center"/>
    </xf>
    <xf numFmtId="0" fontId="7" fillId="0" borderId="2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7" fillId="0" borderId="1" xfId="0" applyFont="1" applyBorder="1" applyAlignment="1">
      <alignment horizontal="right" vertical="center"/>
    </xf>
    <xf numFmtId="0" fontId="7" fillId="0" borderId="4" xfId="0" applyFont="1" applyBorder="1">
      <alignment vertical="center"/>
    </xf>
    <xf numFmtId="0" fontId="7" fillId="0" borderId="2" xfId="0" applyFont="1" applyBorder="1" applyAlignment="1">
      <alignment horizontal="right" vertical="center"/>
    </xf>
    <xf numFmtId="0" fontId="11" fillId="0" borderId="1" xfId="0" applyFont="1" applyBorder="1">
      <alignment vertical="center"/>
    </xf>
    <xf numFmtId="0" fontId="7" fillId="0" borderId="1" xfId="0" applyFont="1" applyBorder="1" applyAlignment="1">
      <alignment horizontal="right"/>
    </xf>
    <xf numFmtId="0" fontId="7" fillId="0" borderId="0" xfId="0" applyFont="1" applyAlignment="1">
      <alignment horizontal="right" vertical="center"/>
    </xf>
    <xf numFmtId="0" fontId="11" fillId="0" borderId="2" xfId="0" applyFont="1" applyBorder="1">
      <alignment vertical="center"/>
    </xf>
    <xf numFmtId="0" fontId="7" fillId="2" borderId="2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1" fillId="4" borderId="1" xfId="0" applyFont="1" applyFill="1" applyBorder="1">
      <alignment vertical="center"/>
    </xf>
    <xf numFmtId="0" fontId="7" fillId="3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11" fillId="2" borderId="1" xfId="0" applyFont="1" applyFill="1" applyBorder="1">
      <alignment vertical="center"/>
    </xf>
    <xf numFmtId="0" fontId="11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11" fillId="5" borderId="1" xfId="0" applyFont="1" applyFill="1" applyBorder="1">
      <alignment vertical="center"/>
    </xf>
    <xf numFmtId="0" fontId="12" fillId="0" borderId="0" xfId="0" applyFont="1">
      <alignment vertical="center"/>
    </xf>
    <xf numFmtId="0" fontId="12" fillId="0" borderId="1" xfId="0" applyFont="1" applyBorder="1">
      <alignment vertical="center"/>
    </xf>
    <xf numFmtId="0" fontId="12" fillId="0" borderId="0" xfId="0" applyFont="1" applyAlignment="1">
      <alignment horizontal="right" vertical="center"/>
    </xf>
    <xf numFmtId="0" fontId="12" fillId="0" borderId="2" xfId="0" applyFont="1" applyBorder="1">
      <alignment vertical="center"/>
    </xf>
    <xf numFmtId="176" fontId="12" fillId="0" borderId="1" xfId="0" applyNumberFormat="1" applyFont="1" applyBorder="1">
      <alignment vertical="center"/>
    </xf>
    <xf numFmtId="0" fontId="12" fillId="0" borderId="6" xfId="0" applyFont="1" applyBorder="1">
      <alignment vertical="center"/>
    </xf>
    <xf numFmtId="176" fontId="12" fillId="0" borderId="7" xfId="0" applyNumberFormat="1" applyFont="1" applyBorder="1">
      <alignment vertical="center"/>
    </xf>
    <xf numFmtId="176" fontId="13" fillId="0" borderId="7" xfId="0" applyNumberFormat="1" applyFont="1" applyBorder="1" applyAlignment="1">
      <alignment horizontal="center" vertical="center"/>
    </xf>
    <xf numFmtId="176" fontId="7" fillId="0" borderId="1" xfId="0" applyNumberFormat="1" applyFont="1" applyBorder="1">
      <alignment vertical="center"/>
    </xf>
    <xf numFmtId="176" fontId="7" fillId="0" borderId="0" xfId="2" applyNumberFormat="1" applyFont="1">
      <alignment vertical="center"/>
    </xf>
    <xf numFmtId="0" fontId="7" fillId="0" borderId="9" xfId="0" applyFont="1" applyBorder="1">
      <alignment vertical="center"/>
    </xf>
    <xf numFmtId="0" fontId="7" fillId="3" borderId="10" xfId="0" applyFont="1" applyFill="1" applyBorder="1">
      <alignment vertical="center"/>
    </xf>
    <xf numFmtId="0" fontId="7" fillId="2" borderId="10" xfId="0" applyFont="1" applyFill="1" applyBorder="1">
      <alignment vertical="center"/>
    </xf>
    <xf numFmtId="0" fontId="7" fillId="0" borderId="5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12" xfId="0" applyFont="1" applyBorder="1">
      <alignment vertical="center"/>
    </xf>
    <xf numFmtId="0" fontId="14" fillId="0" borderId="0" xfId="0" applyFont="1">
      <alignment vertical="center"/>
    </xf>
    <xf numFmtId="0" fontId="0" fillId="0" borderId="9" xfId="0" applyBorder="1">
      <alignment vertical="center"/>
    </xf>
    <xf numFmtId="0" fontId="7" fillId="3" borderId="9" xfId="0" applyFont="1" applyFill="1" applyBorder="1">
      <alignment vertical="center"/>
    </xf>
    <xf numFmtId="0" fontId="7" fillId="5" borderId="10" xfId="0" applyFont="1" applyFill="1" applyBorder="1">
      <alignment vertical="center"/>
    </xf>
    <xf numFmtId="0" fontId="7" fillId="0" borderId="10" xfId="0" applyFont="1" applyBorder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3" borderId="4" xfId="0" applyFont="1" applyFill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6" borderId="1" xfId="0" applyFont="1" applyFill="1" applyBorder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</cellXfs>
  <cellStyles count="3">
    <cellStyle name="桁区切り" xfId="2" builtinId="6"/>
    <cellStyle name="標準" xfId="0" builtinId="0"/>
    <cellStyle name="標準 2 2" xfId="1" xr:uid="{C5916EE7-F2FB-4667-8E01-AC7178059B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BEEDD-CACE-484C-A9D5-9344F7864846}">
  <dimension ref="A1:D38"/>
  <sheetViews>
    <sheetView tabSelected="1" topLeftCell="A7" zoomScaleNormal="100" workbookViewId="0">
      <selection activeCell="B8" sqref="B8"/>
    </sheetView>
  </sheetViews>
  <sheetFormatPr defaultColWidth="8.83203125" defaultRowHeight="18" x14ac:dyDescent="0.55000000000000004"/>
  <cols>
    <col min="1" max="1" width="27" style="52" customWidth="1"/>
    <col min="2" max="2" width="14.6640625" style="52" customWidth="1"/>
    <col min="3" max="3" width="22.1640625" style="52" customWidth="1"/>
    <col min="4" max="4" width="15.1640625" style="52" customWidth="1"/>
  </cols>
  <sheetData>
    <row r="1" spans="1:4" x14ac:dyDescent="0.55000000000000004">
      <c r="A1" s="63" t="s">
        <v>0</v>
      </c>
      <c r="B1" s="64" t="s">
        <v>1</v>
      </c>
      <c r="C1" s="63" t="s">
        <v>0</v>
      </c>
      <c r="D1" s="63" t="s">
        <v>1</v>
      </c>
    </row>
    <row r="2" spans="1:4" x14ac:dyDescent="0.55000000000000004">
      <c r="A2" s="37"/>
      <c r="B2" s="37"/>
      <c r="C2" s="37"/>
      <c r="D2" s="37"/>
    </row>
    <row r="3" spans="1:4" x14ac:dyDescent="0.55000000000000004">
      <c r="A3" s="37"/>
      <c r="B3" s="37"/>
      <c r="C3" s="37"/>
      <c r="D3" s="37"/>
    </row>
    <row r="4" spans="1:4" x14ac:dyDescent="0.55000000000000004">
      <c r="A4" s="37"/>
      <c r="B4" s="37"/>
      <c r="C4" s="37"/>
      <c r="D4" s="37"/>
    </row>
    <row r="5" spans="1:4" x14ac:dyDescent="0.55000000000000004">
      <c r="A5" s="37"/>
      <c r="B5" s="37"/>
      <c r="C5" s="37"/>
      <c r="D5" s="37"/>
    </row>
    <row r="6" spans="1:4" x14ac:dyDescent="0.55000000000000004">
      <c r="A6" s="37"/>
      <c r="B6" s="37"/>
      <c r="C6" s="37"/>
      <c r="D6" s="37"/>
    </row>
    <row r="7" spans="1:4" x14ac:dyDescent="0.55000000000000004">
      <c r="A7" s="37"/>
      <c r="B7" s="37"/>
      <c r="C7" s="37"/>
      <c r="D7" s="37"/>
    </row>
    <row r="8" spans="1:4" x14ac:dyDescent="0.55000000000000004">
      <c r="A8" s="37"/>
      <c r="B8" s="37"/>
      <c r="C8" s="37"/>
      <c r="D8" s="37"/>
    </row>
    <row r="9" spans="1:4" x14ac:dyDescent="0.55000000000000004">
      <c r="A9" s="37"/>
      <c r="B9" s="37"/>
      <c r="C9" s="37"/>
      <c r="D9" s="37"/>
    </row>
    <row r="10" spans="1:4" x14ac:dyDescent="0.55000000000000004">
      <c r="A10" s="37"/>
      <c r="B10" s="37"/>
      <c r="C10" s="37"/>
      <c r="D10" s="37"/>
    </row>
    <row r="11" spans="1:4" x14ac:dyDescent="0.55000000000000004">
      <c r="A11" s="37"/>
      <c r="B11" s="37"/>
      <c r="C11" s="37"/>
      <c r="D11" s="37"/>
    </row>
    <row r="12" spans="1:4" x14ac:dyDescent="0.55000000000000004">
      <c r="A12" s="37"/>
      <c r="B12" s="37"/>
      <c r="C12" s="37"/>
      <c r="D12" s="37"/>
    </row>
    <row r="13" spans="1:4" x14ac:dyDescent="0.55000000000000004">
      <c r="A13" s="37"/>
      <c r="B13" s="37"/>
      <c r="C13" s="37"/>
      <c r="D13" s="37"/>
    </row>
    <row r="14" spans="1:4" x14ac:dyDescent="0.55000000000000004">
      <c r="A14" s="37"/>
      <c r="B14" s="39"/>
      <c r="C14" s="37"/>
      <c r="D14" s="37"/>
    </row>
    <row r="15" spans="1:4" x14ac:dyDescent="0.55000000000000004">
      <c r="A15" s="37"/>
      <c r="B15" s="39"/>
      <c r="C15" s="37"/>
      <c r="D15" s="37"/>
    </row>
    <row r="16" spans="1:4" x14ac:dyDescent="0.55000000000000004">
      <c r="A16" s="37"/>
      <c r="B16" s="39"/>
      <c r="C16" s="37"/>
      <c r="D16" s="37"/>
    </row>
    <row r="17" spans="1:4" x14ac:dyDescent="0.55000000000000004">
      <c r="A17" s="37"/>
      <c r="B17" s="39"/>
      <c r="C17" s="37"/>
      <c r="D17" s="37"/>
    </row>
    <row r="18" spans="1:4" x14ac:dyDescent="0.55000000000000004">
      <c r="A18" s="37"/>
      <c r="B18" s="39"/>
      <c r="C18" s="37"/>
      <c r="D18" s="37"/>
    </row>
    <row r="19" spans="1:4" x14ac:dyDescent="0.55000000000000004">
      <c r="A19" s="37"/>
      <c r="B19" s="39"/>
      <c r="C19" s="37"/>
      <c r="D19" s="37"/>
    </row>
    <row r="20" spans="1:4" x14ac:dyDescent="0.55000000000000004">
      <c r="A20" s="37"/>
      <c r="B20" s="39"/>
      <c r="C20" s="37"/>
      <c r="D20" s="37"/>
    </row>
    <row r="21" spans="1:4" x14ac:dyDescent="0.55000000000000004">
      <c r="A21" s="37"/>
      <c r="B21" s="39"/>
      <c r="C21" s="37"/>
      <c r="D21" s="37"/>
    </row>
    <row r="22" spans="1:4" x14ac:dyDescent="0.55000000000000004">
      <c r="A22" s="37"/>
      <c r="B22" s="39"/>
      <c r="C22" s="37"/>
      <c r="D22" s="37"/>
    </row>
    <row r="23" spans="1:4" x14ac:dyDescent="0.55000000000000004">
      <c r="A23" s="37"/>
      <c r="B23" s="39"/>
      <c r="C23" s="37"/>
      <c r="D23" s="37"/>
    </row>
    <row r="24" spans="1:4" x14ac:dyDescent="0.55000000000000004">
      <c r="A24" s="37"/>
      <c r="B24" s="39"/>
      <c r="C24" s="37"/>
      <c r="D24" s="37"/>
    </row>
    <row r="25" spans="1:4" x14ac:dyDescent="0.55000000000000004">
      <c r="A25" s="37"/>
      <c r="B25" s="39"/>
      <c r="C25" s="37"/>
      <c r="D25" s="37"/>
    </row>
    <row r="26" spans="1:4" x14ac:dyDescent="0.55000000000000004">
      <c r="A26" s="37"/>
      <c r="B26" s="39"/>
      <c r="C26" s="37"/>
      <c r="D26" s="37"/>
    </row>
    <row r="27" spans="1:4" x14ac:dyDescent="0.55000000000000004">
      <c r="A27" s="37"/>
      <c r="B27" s="39"/>
      <c r="C27" s="37"/>
      <c r="D27" s="37"/>
    </row>
    <row r="28" spans="1:4" x14ac:dyDescent="0.55000000000000004">
      <c r="A28" s="37"/>
      <c r="B28" s="39"/>
      <c r="C28" s="37"/>
      <c r="D28" s="37"/>
    </row>
    <row r="29" spans="1:4" x14ac:dyDescent="0.55000000000000004">
      <c r="A29" s="37"/>
      <c r="B29" s="39"/>
      <c r="C29" s="37"/>
      <c r="D29" s="37"/>
    </row>
    <row r="30" spans="1:4" x14ac:dyDescent="0.55000000000000004">
      <c r="A30" s="37"/>
      <c r="B30" s="39"/>
      <c r="C30" s="37"/>
      <c r="D30" s="37"/>
    </row>
    <row r="31" spans="1:4" x14ac:dyDescent="0.55000000000000004">
      <c r="A31" s="37"/>
      <c r="B31" s="39"/>
      <c r="C31" s="37"/>
      <c r="D31" s="37"/>
    </row>
    <row r="32" spans="1:4" x14ac:dyDescent="0.55000000000000004">
      <c r="A32" s="37"/>
      <c r="B32" s="39"/>
      <c r="C32" s="37"/>
      <c r="D32" s="37"/>
    </row>
    <row r="33" spans="1:4" x14ac:dyDescent="0.55000000000000004">
      <c r="A33" s="37"/>
      <c r="B33" s="39"/>
      <c r="C33" s="37"/>
      <c r="D33" s="37"/>
    </row>
    <row r="34" spans="1:4" x14ac:dyDescent="0.55000000000000004">
      <c r="A34" s="37"/>
      <c r="B34" s="39"/>
      <c r="C34" s="37"/>
      <c r="D34" s="37"/>
    </row>
    <row r="35" spans="1:4" x14ac:dyDescent="0.55000000000000004">
      <c r="A35" s="37"/>
      <c r="B35" s="39"/>
      <c r="C35" s="37"/>
      <c r="D35" s="37"/>
    </row>
    <row r="36" spans="1:4" x14ac:dyDescent="0.55000000000000004">
      <c r="A36" s="37"/>
      <c r="B36" s="39"/>
      <c r="C36" s="37"/>
      <c r="D36" s="37"/>
    </row>
    <row r="37" spans="1:4" x14ac:dyDescent="0.55000000000000004">
      <c r="A37" s="37"/>
      <c r="B37" s="39"/>
      <c r="C37" s="37"/>
      <c r="D37" s="37"/>
    </row>
    <row r="38" spans="1:4" hidden="1" x14ac:dyDescent="0.55000000000000004">
      <c r="A38" s="37"/>
      <c r="B38" s="37"/>
      <c r="C38" s="37"/>
      <c r="D38" s="37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76FDB-6ABE-4891-B381-31955FABA50D}">
  <dimension ref="A1:K44"/>
  <sheetViews>
    <sheetView workbookViewId="0">
      <selection activeCell="A2" sqref="A2"/>
    </sheetView>
  </sheetViews>
  <sheetFormatPr defaultColWidth="8.83203125" defaultRowHeight="18" x14ac:dyDescent="0.55000000000000004"/>
  <cols>
    <col min="1" max="1" width="26.83203125" customWidth="1"/>
    <col min="2" max="2" width="10.1640625" customWidth="1"/>
    <col min="3" max="4" width="9.5" customWidth="1"/>
    <col min="5" max="5" width="25.83203125" customWidth="1"/>
    <col min="6" max="6" width="11.5" customWidth="1"/>
    <col min="7" max="7" width="11" customWidth="1"/>
    <col min="8" max="8" width="9.83203125" customWidth="1"/>
  </cols>
  <sheetData>
    <row r="1" spans="1:11" ht="25.5" x14ac:dyDescent="0.55000000000000004">
      <c r="A1" s="65" t="s">
        <v>2</v>
      </c>
      <c r="B1" s="65"/>
      <c r="C1" s="65"/>
      <c r="D1" s="65"/>
      <c r="E1" s="65"/>
      <c r="F1" s="65"/>
      <c r="G1" s="66"/>
      <c r="H1" s="1"/>
      <c r="I1" s="1"/>
      <c r="J1" s="1"/>
    </row>
    <row r="2" spans="1:11" x14ac:dyDescent="0.55000000000000004">
      <c r="A2" s="3" t="s">
        <v>0</v>
      </c>
      <c r="B2" s="4" t="s">
        <v>3</v>
      </c>
      <c r="C2" s="4" t="s">
        <v>1</v>
      </c>
      <c r="D2" s="4" t="s">
        <v>4</v>
      </c>
      <c r="E2" s="3" t="s">
        <v>0</v>
      </c>
      <c r="F2" s="3" t="s">
        <v>3</v>
      </c>
      <c r="G2" s="3" t="s">
        <v>1</v>
      </c>
      <c r="H2" s="3" t="s">
        <v>4</v>
      </c>
    </row>
    <row r="3" spans="1:11" x14ac:dyDescent="0.55000000000000004">
      <c r="A3" s="10" t="s">
        <v>5</v>
      </c>
      <c r="B3" s="13">
        <v>383</v>
      </c>
      <c r="C3" s="20"/>
      <c r="D3" s="20">
        <f>SUM(C3*B3)</f>
        <v>0</v>
      </c>
      <c r="E3" s="21" t="s">
        <v>6</v>
      </c>
      <c r="F3" s="21">
        <v>1.44</v>
      </c>
      <c r="G3" s="18"/>
      <c r="H3" s="10">
        <f>SUM(G3*F3)</f>
        <v>0</v>
      </c>
    </row>
    <row r="4" spans="1:11" x14ac:dyDescent="0.35">
      <c r="A4" s="10" t="s">
        <v>7</v>
      </c>
      <c r="B4" s="13">
        <v>385</v>
      </c>
      <c r="C4" s="20"/>
      <c r="D4" s="20">
        <f t="shared" ref="D4:D38" si="0">SUM(C4*B4)</f>
        <v>0</v>
      </c>
      <c r="E4" s="21" t="s">
        <v>8</v>
      </c>
      <c r="F4" s="21">
        <v>390</v>
      </c>
      <c r="G4" s="22"/>
      <c r="H4" s="10">
        <f t="shared" ref="H4:H38" si="1">SUM(G4*F4)</f>
        <v>0</v>
      </c>
    </row>
    <row r="5" spans="1:11" x14ac:dyDescent="0.35">
      <c r="A5" s="10" t="s">
        <v>9</v>
      </c>
      <c r="B5" s="13">
        <v>322</v>
      </c>
      <c r="C5" s="20"/>
      <c r="D5" s="20">
        <f t="shared" si="0"/>
        <v>0</v>
      </c>
      <c r="E5" s="21" t="s">
        <v>10</v>
      </c>
      <c r="F5" s="21">
        <v>4.0999999999999996</v>
      </c>
      <c r="G5" s="22"/>
      <c r="H5" s="10">
        <f t="shared" si="1"/>
        <v>0</v>
      </c>
    </row>
    <row r="6" spans="1:11" x14ac:dyDescent="0.35">
      <c r="A6" s="10" t="s">
        <v>11</v>
      </c>
      <c r="B6" s="13">
        <v>538</v>
      </c>
      <c r="C6" s="20">
        <v>1</v>
      </c>
      <c r="D6" s="20">
        <f t="shared" si="0"/>
        <v>538</v>
      </c>
      <c r="E6" s="21" t="s">
        <v>12</v>
      </c>
      <c r="F6" s="21">
        <v>1.3</v>
      </c>
      <c r="G6" s="22"/>
      <c r="H6" s="10">
        <f t="shared" si="1"/>
        <v>0</v>
      </c>
    </row>
    <row r="7" spans="1:11" x14ac:dyDescent="0.35">
      <c r="A7" s="10" t="s">
        <v>13</v>
      </c>
      <c r="B7" s="13">
        <v>430</v>
      </c>
      <c r="C7" s="20">
        <v>0.75</v>
      </c>
      <c r="D7" s="20">
        <f t="shared" si="0"/>
        <v>322.5</v>
      </c>
      <c r="E7" s="21" t="s">
        <v>14</v>
      </c>
      <c r="F7" s="21">
        <v>6.26</v>
      </c>
      <c r="G7" s="22"/>
      <c r="H7" s="10">
        <f t="shared" si="1"/>
        <v>0</v>
      </c>
    </row>
    <row r="8" spans="1:11" x14ac:dyDescent="0.35">
      <c r="A8" s="10" t="s">
        <v>15</v>
      </c>
      <c r="B8" s="13">
        <v>0.22</v>
      </c>
      <c r="C8" s="20"/>
      <c r="D8" s="20">
        <f t="shared" si="0"/>
        <v>0</v>
      </c>
      <c r="E8" s="21" t="s">
        <v>16</v>
      </c>
      <c r="F8" s="21">
        <v>2.2000000000000002</v>
      </c>
      <c r="G8" s="22"/>
      <c r="H8" s="10">
        <f t="shared" si="1"/>
        <v>0</v>
      </c>
    </row>
    <row r="9" spans="1:11" x14ac:dyDescent="0.35">
      <c r="A9" s="10" t="s">
        <v>17</v>
      </c>
      <c r="B9" s="13">
        <v>361</v>
      </c>
      <c r="C9" s="20"/>
      <c r="D9" s="20">
        <f t="shared" si="0"/>
        <v>0</v>
      </c>
      <c r="E9" s="21" t="s">
        <v>18</v>
      </c>
      <c r="F9" s="21">
        <v>15</v>
      </c>
      <c r="G9" s="22"/>
      <c r="H9" s="10">
        <f t="shared" si="1"/>
        <v>0</v>
      </c>
    </row>
    <row r="10" spans="1:11" x14ac:dyDescent="0.35">
      <c r="A10" s="10" t="s">
        <v>19</v>
      </c>
      <c r="B10" s="13">
        <v>138</v>
      </c>
      <c r="C10" s="20">
        <v>0.5</v>
      </c>
      <c r="D10" s="20">
        <f t="shared" si="0"/>
        <v>69</v>
      </c>
      <c r="E10" s="21" t="s">
        <v>20</v>
      </c>
      <c r="F10" s="21">
        <v>1</v>
      </c>
      <c r="G10" s="22"/>
      <c r="H10" s="10">
        <f t="shared" si="1"/>
        <v>0</v>
      </c>
    </row>
    <row r="11" spans="1:11" x14ac:dyDescent="0.35">
      <c r="A11" s="10" t="s">
        <v>21</v>
      </c>
      <c r="B11" s="13">
        <v>256</v>
      </c>
      <c r="C11" s="20">
        <v>1</v>
      </c>
      <c r="D11" s="20">
        <f t="shared" si="0"/>
        <v>256</v>
      </c>
      <c r="E11" s="21" t="s">
        <v>22</v>
      </c>
      <c r="F11" s="21">
        <v>0.81</v>
      </c>
      <c r="G11" s="22"/>
      <c r="H11" s="10">
        <f t="shared" si="1"/>
        <v>0</v>
      </c>
    </row>
    <row r="12" spans="1:11" x14ac:dyDescent="0.35">
      <c r="A12" s="10" t="s">
        <v>23</v>
      </c>
      <c r="B12" s="13">
        <v>128</v>
      </c>
      <c r="C12" s="20">
        <v>1</v>
      </c>
      <c r="D12" s="20">
        <f t="shared" si="0"/>
        <v>128</v>
      </c>
      <c r="E12" s="21" t="s">
        <v>24</v>
      </c>
      <c r="F12" s="21">
        <v>3.57</v>
      </c>
      <c r="G12" s="22"/>
      <c r="H12" s="10">
        <f t="shared" si="1"/>
        <v>0</v>
      </c>
      <c r="K12" s="6"/>
    </row>
    <row r="13" spans="1:11" x14ac:dyDescent="0.35">
      <c r="A13" s="10" t="s">
        <v>25</v>
      </c>
      <c r="B13" s="13">
        <v>148</v>
      </c>
      <c r="C13" s="20"/>
      <c r="D13" s="20">
        <f t="shared" si="0"/>
        <v>0</v>
      </c>
      <c r="E13" s="21" t="s">
        <v>26</v>
      </c>
      <c r="F13" s="21">
        <v>1.52</v>
      </c>
      <c r="G13" s="22"/>
      <c r="H13" s="10">
        <f t="shared" si="1"/>
        <v>0</v>
      </c>
    </row>
    <row r="14" spans="1:11" x14ac:dyDescent="0.35">
      <c r="A14" s="10" t="s">
        <v>27</v>
      </c>
      <c r="B14" s="13">
        <v>1.1000000000000001</v>
      </c>
      <c r="C14" s="20">
        <v>1</v>
      </c>
      <c r="D14" s="20">
        <f t="shared" si="0"/>
        <v>1.1000000000000001</v>
      </c>
      <c r="E14" s="21" t="s">
        <v>28</v>
      </c>
      <c r="F14" s="21">
        <v>0.92</v>
      </c>
      <c r="G14" s="22"/>
      <c r="H14" s="10">
        <f t="shared" si="1"/>
        <v>0</v>
      </c>
    </row>
    <row r="15" spans="1:11" x14ac:dyDescent="0.35">
      <c r="A15" s="10" t="s">
        <v>29</v>
      </c>
      <c r="B15" s="13">
        <v>148</v>
      </c>
      <c r="C15" s="20">
        <v>1</v>
      </c>
      <c r="D15" s="20">
        <f t="shared" si="0"/>
        <v>148</v>
      </c>
      <c r="E15" s="21" t="s">
        <v>30</v>
      </c>
      <c r="F15" s="21">
        <v>2</v>
      </c>
      <c r="G15" s="22"/>
      <c r="H15" s="10">
        <f t="shared" si="1"/>
        <v>0</v>
      </c>
    </row>
    <row r="16" spans="1:11" x14ac:dyDescent="0.35">
      <c r="A16" s="10" t="s">
        <v>31</v>
      </c>
      <c r="B16" s="13">
        <v>148</v>
      </c>
      <c r="C16" s="20">
        <v>0.5</v>
      </c>
      <c r="D16" s="20">
        <f t="shared" si="0"/>
        <v>74</v>
      </c>
      <c r="E16" s="21" t="s">
        <v>32</v>
      </c>
      <c r="F16" s="21">
        <v>1.92</v>
      </c>
      <c r="G16" s="22"/>
      <c r="H16" s="10">
        <f t="shared" si="1"/>
        <v>0</v>
      </c>
    </row>
    <row r="17" spans="1:8" x14ac:dyDescent="0.35">
      <c r="A17" s="10" t="s">
        <v>33</v>
      </c>
      <c r="B17" s="13">
        <v>148</v>
      </c>
      <c r="C17" s="20"/>
      <c r="D17" s="20">
        <f t="shared" si="0"/>
        <v>0</v>
      </c>
      <c r="E17" s="21" t="s">
        <v>34</v>
      </c>
      <c r="F17" s="21">
        <v>7.99</v>
      </c>
      <c r="G17" s="22"/>
      <c r="H17" s="10">
        <f t="shared" si="1"/>
        <v>0</v>
      </c>
    </row>
    <row r="18" spans="1:8" x14ac:dyDescent="0.35">
      <c r="A18" s="10" t="s">
        <v>35</v>
      </c>
      <c r="B18" s="13">
        <v>86</v>
      </c>
      <c r="C18" s="20">
        <v>6</v>
      </c>
      <c r="D18" s="20">
        <f t="shared" si="0"/>
        <v>516</v>
      </c>
      <c r="E18" s="21" t="s">
        <v>36</v>
      </c>
      <c r="F18" s="21">
        <v>60.2</v>
      </c>
      <c r="G18" s="22"/>
      <c r="H18" s="10">
        <f t="shared" si="1"/>
        <v>0</v>
      </c>
    </row>
    <row r="19" spans="1:8" x14ac:dyDescent="0.35">
      <c r="A19" s="10" t="s">
        <v>37</v>
      </c>
      <c r="B19" s="13">
        <v>128</v>
      </c>
      <c r="C19" s="20">
        <v>3</v>
      </c>
      <c r="D19" s="20">
        <f t="shared" si="0"/>
        <v>384</v>
      </c>
      <c r="E19" s="21" t="s">
        <v>38</v>
      </c>
      <c r="F19" s="21">
        <v>7.46</v>
      </c>
      <c r="G19" s="22"/>
      <c r="H19" s="10">
        <f t="shared" si="1"/>
        <v>0</v>
      </c>
    </row>
    <row r="20" spans="1:8" x14ac:dyDescent="0.35">
      <c r="A20" s="10" t="s">
        <v>39</v>
      </c>
      <c r="B20" s="13">
        <v>15</v>
      </c>
      <c r="C20" s="20">
        <v>3</v>
      </c>
      <c r="D20" s="20">
        <f t="shared" si="0"/>
        <v>45</v>
      </c>
      <c r="E20" s="21" t="s">
        <v>40</v>
      </c>
      <c r="F20" s="21">
        <v>34.659999999999997</v>
      </c>
      <c r="G20" s="22"/>
      <c r="H20" s="10">
        <f t="shared" si="1"/>
        <v>0</v>
      </c>
    </row>
    <row r="21" spans="1:8" x14ac:dyDescent="0.35">
      <c r="A21" s="10" t="s">
        <v>41</v>
      </c>
      <c r="B21" s="13">
        <v>48</v>
      </c>
      <c r="C21" s="20">
        <v>1</v>
      </c>
      <c r="D21" s="20">
        <f t="shared" si="0"/>
        <v>48</v>
      </c>
      <c r="E21" s="21" t="s">
        <v>10</v>
      </c>
      <c r="F21" s="21">
        <v>3.56</v>
      </c>
      <c r="G21" s="22"/>
      <c r="H21" s="10">
        <f t="shared" si="1"/>
        <v>0</v>
      </c>
    </row>
    <row r="22" spans="1:8" x14ac:dyDescent="0.35">
      <c r="A22" s="10" t="s">
        <v>42</v>
      </c>
      <c r="B22" s="13">
        <v>258</v>
      </c>
      <c r="C22" s="20">
        <v>0.75</v>
      </c>
      <c r="D22" s="20">
        <f t="shared" si="0"/>
        <v>193.5</v>
      </c>
      <c r="E22" s="21" t="s">
        <v>43</v>
      </c>
      <c r="F22" s="21">
        <v>3.24</v>
      </c>
      <c r="G22" s="22"/>
      <c r="H22" s="10">
        <f t="shared" si="1"/>
        <v>0</v>
      </c>
    </row>
    <row r="23" spans="1:8" x14ac:dyDescent="0.35">
      <c r="A23" s="10" t="s">
        <v>44</v>
      </c>
      <c r="B23" s="13">
        <v>258</v>
      </c>
      <c r="C23" s="20"/>
      <c r="D23" s="20">
        <f t="shared" si="0"/>
        <v>0</v>
      </c>
      <c r="E23" s="21" t="s">
        <v>45</v>
      </c>
      <c r="F23" s="21">
        <v>65.78</v>
      </c>
      <c r="G23" s="22"/>
      <c r="H23" s="10">
        <f t="shared" si="1"/>
        <v>0</v>
      </c>
    </row>
    <row r="24" spans="1:8" x14ac:dyDescent="0.35">
      <c r="A24" s="10" t="s">
        <v>46</v>
      </c>
      <c r="B24" s="13">
        <v>258</v>
      </c>
      <c r="C24" s="20"/>
      <c r="D24" s="20">
        <f t="shared" si="0"/>
        <v>0</v>
      </c>
      <c r="E24" s="21" t="s">
        <v>47</v>
      </c>
      <c r="F24" s="21">
        <v>52.65</v>
      </c>
      <c r="G24" s="22"/>
      <c r="H24" s="10">
        <f t="shared" si="1"/>
        <v>0</v>
      </c>
    </row>
    <row r="25" spans="1:8" x14ac:dyDescent="0.35">
      <c r="A25" s="10" t="s">
        <v>48</v>
      </c>
      <c r="B25" s="13">
        <v>0.5</v>
      </c>
      <c r="C25" s="20">
        <v>4000</v>
      </c>
      <c r="D25" s="20">
        <f t="shared" si="0"/>
        <v>2000</v>
      </c>
      <c r="E25" s="21" t="s">
        <v>49</v>
      </c>
      <c r="F25" s="21">
        <v>77.55</v>
      </c>
      <c r="G25" s="22"/>
      <c r="H25" s="10">
        <f t="shared" si="1"/>
        <v>0</v>
      </c>
    </row>
    <row r="26" spans="1:8" x14ac:dyDescent="0.55000000000000004">
      <c r="A26" s="10" t="s">
        <v>50</v>
      </c>
      <c r="B26" s="13">
        <v>44.67</v>
      </c>
      <c r="C26" s="20"/>
      <c r="D26" s="20">
        <f t="shared" si="0"/>
        <v>0</v>
      </c>
      <c r="E26" s="21" t="s">
        <v>51</v>
      </c>
      <c r="F26" s="21">
        <v>58.54</v>
      </c>
      <c r="G26" s="18"/>
      <c r="H26" s="10">
        <f t="shared" si="1"/>
        <v>0</v>
      </c>
    </row>
    <row r="27" spans="1:8" x14ac:dyDescent="0.55000000000000004">
      <c r="A27" s="10" t="s">
        <v>52</v>
      </c>
      <c r="B27" s="13">
        <v>158</v>
      </c>
      <c r="C27" s="20">
        <v>0.25</v>
      </c>
      <c r="D27" s="20">
        <f t="shared" si="0"/>
        <v>39.5</v>
      </c>
      <c r="E27" s="21" t="s">
        <v>53</v>
      </c>
      <c r="F27" s="21">
        <v>2.89</v>
      </c>
      <c r="G27" s="18"/>
      <c r="H27" s="10">
        <f t="shared" si="1"/>
        <v>0</v>
      </c>
    </row>
    <row r="28" spans="1:8" x14ac:dyDescent="0.55000000000000004">
      <c r="A28" s="10" t="s">
        <v>54</v>
      </c>
      <c r="B28" s="13">
        <v>0.39</v>
      </c>
      <c r="C28" s="20"/>
      <c r="D28" s="20">
        <f t="shared" si="0"/>
        <v>0</v>
      </c>
      <c r="E28" s="21" t="s">
        <v>55</v>
      </c>
      <c r="F28" s="21">
        <v>2.0299999999999998</v>
      </c>
      <c r="G28" s="18"/>
      <c r="H28" s="10">
        <f t="shared" si="1"/>
        <v>0</v>
      </c>
    </row>
    <row r="29" spans="1:8" x14ac:dyDescent="0.55000000000000004">
      <c r="A29" s="10" t="s">
        <v>56</v>
      </c>
      <c r="B29" s="13">
        <v>138</v>
      </c>
      <c r="C29" s="20"/>
      <c r="D29" s="20">
        <f t="shared" si="0"/>
        <v>0</v>
      </c>
      <c r="E29" s="21" t="s">
        <v>57</v>
      </c>
      <c r="F29" s="21">
        <v>2</v>
      </c>
      <c r="G29" s="18"/>
      <c r="H29" s="10">
        <f t="shared" si="1"/>
        <v>0</v>
      </c>
    </row>
    <row r="30" spans="1:8" x14ac:dyDescent="0.55000000000000004">
      <c r="A30" s="10" t="s">
        <v>58</v>
      </c>
      <c r="B30" s="13">
        <v>1.71</v>
      </c>
      <c r="C30" s="20"/>
      <c r="D30" s="20">
        <f t="shared" si="0"/>
        <v>0</v>
      </c>
      <c r="E30" s="21" t="s">
        <v>59</v>
      </c>
      <c r="F30" s="21">
        <v>1.83</v>
      </c>
      <c r="G30" s="18"/>
      <c r="H30" s="10">
        <f t="shared" si="1"/>
        <v>0</v>
      </c>
    </row>
    <row r="31" spans="1:8" x14ac:dyDescent="0.55000000000000004">
      <c r="A31" s="10" t="s">
        <v>60</v>
      </c>
      <c r="B31" s="13">
        <v>2.67</v>
      </c>
      <c r="C31" s="20"/>
      <c r="D31" s="20">
        <f t="shared" si="0"/>
        <v>0</v>
      </c>
      <c r="E31" s="21" t="s">
        <v>61</v>
      </c>
      <c r="F31" s="21">
        <v>2.5099999999999998</v>
      </c>
      <c r="G31" s="18"/>
      <c r="H31" s="10">
        <f t="shared" si="1"/>
        <v>0</v>
      </c>
    </row>
    <row r="32" spans="1:8" x14ac:dyDescent="0.55000000000000004">
      <c r="A32" s="10" t="s">
        <v>62</v>
      </c>
      <c r="B32" s="13">
        <v>1.39</v>
      </c>
      <c r="C32" s="20"/>
      <c r="D32" s="20">
        <f t="shared" si="0"/>
        <v>0</v>
      </c>
      <c r="E32" s="21" t="s">
        <v>63</v>
      </c>
      <c r="F32" s="21">
        <v>92.78</v>
      </c>
      <c r="G32" s="18"/>
      <c r="H32" s="10">
        <f t="shared" si="1"/>
        <v>0</v>
      </c>
    </row>
    <row r="33" spans="1:8" x14ac:dyDescent="0.55000000000000004">
      <c r="A33" s="10" t="s">
        <v>64</v>
      </c>
      <c r="B33" s="13">
        <v>0.52</v>
      </c>
      <c r="C33" s="20"/>
      <c r="D33" s="20">
        <f t="shared" si="0"/>
        <v>0</v>
      </c>
      <c r="E33" s="21" t="s">
        <v>65</v>
      </c>
      <c r="F33" s="21">
        <v>0.81</v>
      </c>
      <c r="G33" s="18"/>
      <c r="H33" s="10">
        <f t="shared" si="1"/>
        <v>0</v>
      </c>
    </row>
    <row r="34" spans="1:8" x14ac:dyDescent="0.55000000000000004">
      <c r="A34" s="21" t="s">
        <v>66</v>
      </c>
      <c r="B34" s="24">
        <v>2082</v>
      </c>
      <c r="C34" s="20"/>
      <c r="D34" s="20">
        <f t="shared" si="0"/>
        <v>0</v>
      </c>
      <c r="E34" s="21" t="s">
        <v>67</v>
      </c>
      <c r="F34" s="21">
        <v>1.48</v>
      </c>
      <c r="G34" s="18"/>
      <c r="H34" s="10">
        <f t="shared" si="1"/>
        <v>0</v>
      </c>
    </row>
    <row r="35" spans="1:8" x14ac:dyDescent="0.55000000000000004">
      <c r="A35" s="21" t="s">
        <v>68</v>
      </c>
      <c r="B35" s="21">
        <v>540</v>
      </c>
      <c r="C35" s="18">
        <v>3</v>
      </c>
      <c r="D35" s="18">
        <f t="shared" si="0"/>
        <v>1620</v>
      </c>
      <c r="E35" s="21" t="s">
        <v>69</v>
      </c>
      <c r="F35" s="21">
        <v>1.26</v>
      </c>
      <c r="G35" s="18"/>
      <c r="H35" s="10">
        <f t="shared" si="1"/>
        <v>0</v>
      </c>
    </row>
    <row r="36" spans="1:8" x14ac:dyDescent="0.55000000000000004">
      <c r="A36" s="21" t="s">
        <v>70</v>
      </c>
      <c r="B36" s="21">
        <v>1.04</v>
      </c>
      <c r="C36" s="18"/>
      <c r="D36" s="18">
        <f t="shared" si="0"/>
        <v>0</v>
      </c>
      <c r="E36" s="21" t="s">
        <v>71</v>
      </c>
      <c r="F36" s="21">
        <v>2082</v>
      </c>
      <c r="G36" s="18">
        <v>1</v>
      </c>
      <c r="H36" s="10">
        <f t="shared" si="1"/>
        <v>2082</v>
      </c>
    </row>
    <row r="37" spans="1:8" x14ac:dyDescent="0.55000000000000004">
      <c r="A37" s="21" t="s">
        <v>72</v>
      </c>
      <c r="B37" s="21">
        <v>2700</v>
      </c>
      <c r="C37" s="18"/>
      <c r="D37" s="18">
        <f t="shared" si="0"/>
        <v>0</v>
      </c>
      <c r="E37" s="21" t="s">
        <v>73</v>
      </c>
      <c r="F37" s="21">
        <v>0.51</v>
      </c>
      <c r="G37" s="18">
        <v>750</v>
      </c>
      <c r="H37" s="10">
        <f t="shared" si="1"/>
        <v>382.5</v>
      </c>
    </row>
    <row r="38" spans="1:8" ht="19.5" customHeight="1" x14ac:dyDescent="0.55000000000000004">
      <c r="A38" s="21" t="s">
        <v>74</v>
      </c>
      <c r="B38" s="21">
        <v>1732</v>
      </c>
      <c r="C38" s="26"/>
      <c r="D38" s="18">
        <f t="shared" si="0"/>
        <v>0</v>
      </c>
      <c r="E38" s="21" t="s">
        <v>75</v>
      </c>
      <c r="F38" s="21">
        <v>1.0900000000000001</v>
      </c>
      <c r="G38" s="26"/>
      <c r="H38" s="10">
        <f t="shared" si="1"/>
        <v>0</v>
      </c>
    </row>
    <row r="39" spans="1:8" ht="20.25" customHeight="1" x14ac:dyDescent="0.55000000000000004">
      <c r="A39" s="7"/>
      <c r="B39" s="7"/>
      <c r="C39" s="8"/>
      <c r="D39" s="8"/>
      <c r="E39" s="7"/>
      <c r="F39" s="7"/>
      <c r="G39" s="8"/>
    </row>
    <row r="40" spans="1:8" x14ac:dyDescent="0.55000000000000004">
      <c r="C40" s="6"/>
      <c r="D40" s="6"/>
      <c r="G40" s="6"/>
    </row>
    <row r="41" spans="1:8" x14ac:dyDescent="0.55000000000000004">
      <c r="D41" s="36">
        <f>SUM(D3:D38)</f>
        <v>6382.6</v>
      </c>
      <c r="G41" s="6"/>
      <c r="H41" s="36">
        <f>SUM(H3:H38)</f>
        <v>2464.5</v>
      </c>
    </row>
    <row r="42" spans="1:8" x14ac:dyDescent="0.55000000000000004">
      <c r="E42" s="37">
        <f>SUM(D41,H41)</f>
        <v>8847.1</v>
      </c>
      <c r="G42" s="6"/>
    </row>
    <row r="43" spans="1:8" ht="18.5" thickBot="1" x14ac:dyDescent="0.6">
      <c r="G43" s="6"/>
    </row>
    <row r="44" spans="1:8" ht="24.5" x14ac:dyDescent="0.55000000000000004">
      <c r="C44" s="67" t="s">
        <v>76</v>
      </c>
      <c r="D44" s="68"/>
      <c r="E44" s="43">
        <v>1441590.18</v>
      </c>
      <c r="G44" s="6"/>
    </row>
  </sheetData>
  <mergeCells count="2">
    <mergeCell ref="A1:G1"/>
    <mergeCell ref="C44:D44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94E0-2B78-4523-B2D7-075E2F28C37F}">
  <dimension ref="A1:H41"/>
  <sheetViews>
    <sheetView zoomScaleNormal="100" workbookViewId="0">
      <selection activeCell="A29" sqref="A29"/>
    </sheetView>
  </sheetViews>
  <sheetFormatPr defaultColWidth="8.83203125" defaultRowHeight="18" x14ac:dyDescent="0.55000000000000004"/>
  <cols>
    <col min="1" max="1" width="27" customWidth="1"/>
    <col min="2" max="2" width="9.6640625" customWidth="1"/>
    <col min="3" max="3" width="9.5" customWidth="1"/>
    <col min="4" max="4" width="10.6640625" customWidth="1"/>
    <col min="5" max="5" width="24.1640625" customWidth="1"/>
    <col min="6" max="6" width="11.5" customWidth="1"/>
  </cols>
  <sheetData>
    <row r="1" spans="1:8" x14ac:dyDescent="0.55000000000000004">
      <c r="A1" s="3" t="s">
        <v>0</v>
      </c>
      <c r="B1" s="4" t="s">
        <v>3</v>
      </c>
      <c r="C1" s="4" t="s">
        <v>1</v>
      </c>
      <c r="D1" s="4" t="s">
        <v>4</v>
      </c>
      <c r="E1" s="3" t="s">
        <v>0</v>
      </c>
      <c r="F1" s="3" t="s">
        <v>3</v>
      </c>
      <c r="G1" s="3" t="s">
        <v>77</v>
      </c>
      <c r="H1" s="3" t="s">
        <v>4</v>
      </c>
    </row>
    <row r="2" spans="1:8" x14ac:dyDescent="0.55000000000000004">
      <c r="A2" s="21" t="s">
        <v>78</v>
      </c>
      <c r="B2" s="21">
        <v>2.67</v>
      </c>
      <c r="C2" s="18"/>
      <c r="D2" s="18">
        <f>SUM(C2*B2)</f>
        <v>0</v>
      </c>
      <c r="E2" s="21" t="s">
        <v>79</v>
      </c>
      <c r="F2" s="18">
        <v>0.63</v>
      </c>
      <c r="G2" s="10"/>
      <c r="H2" s="10">
        <f>SUM(G2*F2)</f>
        <v>0</v>
      </c>
    </row>
    <row r="3" spans="1:8" x14ac:dyDescent="0.55000000000000004">
      <c r="A3" s="21" t="s">
        <v>80</v>
      </c>
      <c r="B3" s="21">
        <v>0.31</v>
      </c>
      <c r="C3" s="18"/>
      <c r="D3" s="18">
        <f t="shared" ref="D3:D38" si="0">SUM(C3*B3)</f>
        <v>0</v>
      </c>
      <c r="E3" s="21" t="s">
        <v>81</v>
      </c>
      <c r="F3" s="18">
        <v>0.78</v>
      </c>
      <c r="G3" s="10"/>
      <c r="H3" s="10">
        <f t="shared" ref="H3:H38" si="1">SUM(G3*F3)</f>
        <v>0</v>
      </c>
    </row>
    <row r="4" spans="1:8" x14ac:dyDescent="0.55000000000000004">
      <c r="A4" s="21" t="s">
        <v>82</v>
      </c>
      <c r="B4" s="21">
        <v>0.38</v>
      </c>
      <c r="C4" s="18"/>
      <c r="D4" s="18">
        <f t="shared" si="0"/>
        <v>0</v>
      </c>
      <c r="E4" s="21" t="s">
        <v>83</v>
      </c>
      <c r="F4" s="18">
        <v>0.57999999999999996</v>
      </c>
      <c r="G4" s="10"/>
      <c r="H4" s="10">
        <f t="shared" si="1"/>
        <v>0</v>
      </c>
    </row>
    <row r="5" spans="1:8" x14ac:dyDescent="0.55000000000000004">
      <c r="A5" s="21" t="s">
        <v>84</v>
      </c>
      <c r="B5" s="21">
        <v>1160</v>
      </c>
      <c r="C5" s="18"/>
      <c r="D5" s="18">
        <f t="shared" si="0"/>
        <v>0</v>
      </c>
      <c r="E5" s="21" t="s">
        <v>85</v>
      </c>
      <c r="F5" s="18">
        <v>1.4</v>
      </c>
      <c r="G5" s="10"/>
      <c r="H5" s="10">
        <f t="shared" si="1"/>
        <v>0</v>
      </c>
    </row>
    <row r="6" spans="1:8" x14ac:dyDescent="0.55000000000000004">
      <c r="A6" s="21" t="s">
        <v>86</v>
      </c>
      <c r="B6" s="21">
        <v>0.6</v>
      </c>
      <c r="C6" s="18"/>
      <c r="D6" s="18">
        <f t="shared" si="0"/>
        <v>0</v>
      </c>
      <c r="E6" s="21" t="s">
        <v>87</v>
      </c>
      <c r="F6" s="18">
        <v>5.95</v>
      </c>
      <c r="G6" s="10"/>
      <c r="H6" s="10">
        <f t="shared" si="1"/>
        <v>0</v>
      </c>
    </row>
    <row r="7" spans="1:8" x14ac:dyDescent="0.55000000000000004">
      <c r="A7" s="21" t="s">
        <v>88</v>
      </c>
      <c r="B7" s="21">
        <v>1.8</v>
      </c>
      <c r="C7" s="18"/>
      <c r="D7" s="18">
        <f t="shared" si="0"/>
        <v>0</v>
      </c>
      <c r="E7" s="21" t="s">
        <v>89</v>
      </c>
      <c r="F7" s="18">
        <v>0.62</v>
      </c>
      <c r="G7" s="10"/>
      <c r="H7" s="10">
        <f t="shared" si="1"/>
        <v>0</v>
      </c>
    </row>
    <row r="8" spans="1:8" x14ac:dyDescent="0.55000000000000004">
      <c r="A8" s="21" t="s">
        <v>90</v>
      </c>
      <c r="B8" s="21">
        <v>1.24</v>
      </c>
      <c r="C8" s="18"/>
      <c r="D8" s="18">
        <f t="shared" si="0"/>
        <v>0</v>
      </c>
      <c r="E8" s="21" t="s">
        <v>91</v>
      </c>
      <c r="F8" s="18">
        <v>0.61</v>
      </c>
      <c r="G8" s="10"/>
      <c r="H8" s="10">
        <f t="shared" si="1"/>
        <v>0</v>
      </c>
    </row>
    <row r="9" spans="1:8" x14ac:dyDescent="0.55000000000000004">
      <c r="A9" s="21" t="s">
        <v>92</v>
      </c>
      <c r="B9" s="21">
        <v>0.87</v>
      </c>
      <c r="C9" s="18"/>
      <c r="D9" s="18">
        <f t="shared" si="0"/>
        <v>0</v>
      </c>
      <c r="E9" s="21" t="s">
        <v>93</v>
      </c>
      <c r="F9" s="18">
        <v>1.51</v>
      </c>
      <c r="G9" s="10"/>
      <c r="H9" s="10">
        <f t="shared" si="1"/>
        <v>0</v>
      </c>
    </row>
    <row r="10" spans="1:8" x14ac:dyDescent="0.55000000000000004">
      <c r="A10" s="21" t="s">
        <v>94</v>
      </c>
      <c r="B10" s="21">
        <v>1</v>
      </c>
      <c r="C10" s="18"/>
      <c r="D10" s="18">
        <f t="shared" si="0"/>
        <v>0</v>
      </c>
      <c r="E10" s="21" t="s">
        <v>95</v>
      </c>
      <c r="F10" s="18">
        <v>0.42</v>
      </c>
      <c r="G10" s="10"/>
      <c r="H10" s="10">
        <f t="shared" si="1"/>
        <v>0</v>
      </c>
    </row>
    <row r="11" spans="1:8" x14ac:dyDescent="0.55000000000000004">
      <c r="A11" s="21" t="s">
        <v>96</v>
      </c>
      <c r="B11" s="21">
        <v>1.31</v>
      </c>
      <c r="C11" s="18"/>
      <c r="D11" s="18">
        <f t="shared" si="0"/>
        <v>0</v>
      </c>
      <c r="E11" s="21" t="s">
        <v>97</v>
      </c>
      <c r="F11" s="18">
        <v>24.63</v>
      </c>
      <c r="G11" s="10"/>
      <c r="H11" s="10">
        <f t="shared" si="1"/>
        <v>0</v>
      </c>
    </row>
    <row r="12" spans="1:8" x14ac:dyDescent="0.55000000000000004">
      <c r="A12" s="21" t="s">
        <v>98</v>
      </c>
      <c r="B12" s="21">
        <v>1.1200000000000001</v>
      </c>
      <c r="C12" s="18"/>
      <c r="D12" s="18">
        <f t="shared" si="0"/>
        <v>0</v>
      </c>
      <c r="E12" s="21" t="s">
        <v>99</v>
      </c>
      <c r="F12" s="18">
        <v>1649</v>
      </c>
      <c r="G12" s="10"/>
      <c r="H12" s="10">
        <f t="shared" si="1"/>
        <v>0</v>
      </c>
    </row>
    <row r="13" spans="1:8" x14ac:dyDescent="0.55000000000000004">
      <c r="A13" s="21" t="s">
        <v>100</v>
      </c>
      <c r="B13" s="21">
        <v>0.76</v>
      </c>
      <c r="C13" s="18"/>
      <c r="D13" s="18">
        <f t="shared" si="0"/>
        <v>0</v>
      </c>
      <c r="E13" s="21" t="s">
        <v>101</v>
      </c>
      <c r="F13" s="18">
        <v>1.05</v>
      </c>
      <c r="G13" s="10"/>
      <c r="H13" s="10">
        <f t="shared" si="1"/>
        <v>0</v>
      </c>
    </row>
    <row r="14" spans="1:8" x14ac:dyDescent="0.55000000000000004">
      <c r="A14" s="21" t="s">
        <v>102</v>
      </c>
      <c r="B14" s="21">
        <v>0.26</v>
      </c>
      <c r="C14" s="18"/>
      <c r="D14" s="18">
        <f t="shared" si="0"/>
        <v>0</v>
      </c>
      <c r="E14" s="21" t="s">
        <v>103</v>
      </c>
      <c r="F14" s="18">
        <v>1.3</v>
      </c>
      <c r="G14" s="10"/>
      <c r="H14" s="10">
        <f t="shared" si="1"/>
        <v>0</v>
      </c>
    </row>
    <row r="15" spans="1:8" x14ac:dyDescent="0.55000000000000004">
      <c r="A15" s="21" t="s">
        <v>104</v>
      </c>
      <c r="B15" s="21">
        <v>1.49</v>
      </c>
      <c r="C15" s="18"/>
      <c r="D15" s="18">
        <f t="shared" si="0"/>
        <v>0</v>
      </c>
      <c r="E15" s="21" t="s">
        <v>105</v>
      </c>
      <c r="F15" s="18">
        <v>1.93</v>
      </c>
      <c r="G15" s="10"/>
      <c r="H15" s="10">
        <f t="shared" si="1"/>
        <v>0</v>
      </c>
    </row>
    <row r="16" spans="1:8" x14ac:dyDescent="0.55000000000000004">
      <c r="A16" s="21" t="s">
        <v>106</v>
      </c>
      <c r="B16" s="21">
        <v>0.54</v>
      </c>
      <c r="C16" s="18"/>
      <c r="D16" s="18">
        <f t="shared" si="0"/>
        <v>0</v>
      </c>
      <c r="E16" s="21" t="s">
        <v>107</v>
      </c>
      <c r="F16" s="18">
        <v>0.59</v>
      </c>
      <c r="G16" s="10"/>
      <c r="H16" s="10">
        <f t="shared" si="1"/>
        <v>0</v>
      </c>
    </row>
    <row r="17" spans="1:8" x14ac:dyDescent="0.55000000000000004">
      <c r="A17" s="21" t="s">
        <v>108</v>
      </c>
      <c r="B17" s="21">
        <v>1.1000000000000001</v>
      </c>
      <c r="C17" s="18"/>
      <c r="D17" s="18">
        <f t="shared" si="0"/>
        <v>0</v>
      </c>
      <c r="E17" s="21" t="s">
        <v>109</v>
      </c>
      <c r="F17" s="18">
        <v>3.23</v>
      </c>
      <c r="G17" s="10"/>
      <c r="H17" s="10">
        <f t="shared" si="1"/>
        <v>0</v>
      </c>
    </row>
    <row r="18" spans="1:8" x14ac:dyDescent="0.55000000000000004">
      <c r="A18" s="21" t="s">
        <v>110</v>
      </c>
      <c r="B18" s="21">
        <v>893</v>
      </c>
      <c r="C18" s="18"/>
      <c r="D18" s="18">
        <f t="shared" si="0"/>
        <v>0</v>
      </c>
      <c r="E18" s="21" t="s">
        <v>111</v>
      </c>
      <c r="F18" s="18">
        <v>2.96</v>
      </c>
      <c r="G18" s="10"/>
      <c r="H18" s="10">
        <f t="shared" si="1"/>
        <v>0</v>
      </c>
    </row>
    <row r="19" spans="1:8" x14ac:dyDescent="0.55000000000000004">
      <c r="A19" s="21" t="s">
        <v>112</v>
      </c>
      <c r="B19" s="21">
        <v>1.1200000000000001</v>
      </c>
      <c r="C19" s="18"/>
      <c r="D19" s="18">
        <f t="shared" si="0"/>
        <v>0</v>
      </c>
      <c r="E19" s="21" t="s">
        <v>113</v>
      </c>
      <c r="F19" s="18">
        <v>9.75</v>
      </c>
      <c r="G19" s="10">
        <v>0.25</v>
      </c>
      <c r="H19" s="10">
        <f t="shared" si="1"/>
        <v>2.4375</v>
      </c>
    </row>
    <row r="20" spans="1:8" x14ac:dyDescent="0.55000000000000004">
      <c r="A20" s="21" t="s">
        <v>114</v>
      </c>
      <c r="B20" s="21">
        <v>0.63</v>
      </c>
      <c r="C20" s="18"/>
      <c r="D20" s="18">
        <f t="shared" si="0"/>
        <v>0</v>
      </c>
      <c r="E20" s="21" t="s">
        <v>115</v>
      </c>
      <c r="F20" s="18">
        <v>902</v>
      </c>
      <c r="G20" s="10"/>
      <c r="H20" s="10">
        <f t="shared" si="1"/>
        <v>0</v>
      </c>
    </row>
    <row r="21" spans="1:8" x14ac:dyDescent="0.55000000000000004">
      <c r="A21" s="21" t="s">
        <v>116</v>
      </c>
      <c r="B21" s="21">
        <v>2.27</v>
      </c>
      <c r="C21" s="18"/>
      <c r="D21" s="18">
        <f t="shared" si="0"/>
        <v>0</v>
      </c>
      <c r="E21" s="21" t="s">
        <v>117</v>
      </c>
      <c r="F21" s="18">
        <v>54.45</v>
      </c>
      <c r="G21" s="10"/>
      <c r="H21" s="10">
        <f t="shared" si="1"/>
        <v>0</v>
      </c>
    </row>
    <row r="22" spans="1:8" x14ac:dyDescent="0.55000000000000004">
      <c r="A22" s="21" t="s">
        <v>118</v>
      </c>
      <c r="B22" s="21">
        <v>3.3</v>
      </c>
      <c r="C22" s="18"/>
      <c r="D22" s="18">
        <f t="shared" si="0"/>
        <v>0</v>
      </c>
      <c r="E22" s="21" t="s">
        <v>119</v>
      </c>
      <c r="F22" s="18">
        <v>1363</v>
      </c>
      <c r="G22" s="10"/>
      <c r="H22" s="10">
        <f t="shared" si="1"/>
        <v>0</v>
      </c>
    </row>
    <row r="23" spans="1:8" x14ac:dyDescent="0.55000000000000004">
      <c r="A23" s="21" t="s">
        <v>120</v>
      </c>
      <c r="B23" s="21">
        <v>17.18</v>
      </c>
      <c r="C23" s="18"/>
      <c r="D23" s="18">
        <f t="shared" si="0"/>
        <v>0</v>
      </c>
      <c r="E23" s="21" t="s">
        <v>121</v>
      </c>
      <c r="F23" s="18">
        <v>862</v>
      </c>
      <c r="G23" s="10">
        <v>0.5</v>
      </c>
      <c r="H23" s="10">
        <f t="shared" si="1"/>
        <v>431</v>
      </c>
    </row>
    <row r="24" spans="1:8" x14ac:dyDescent="0.55000000000000004">
      <c r="A24" s="21" t="s">
        <v>122</v>
      </c>
      <c r="B24" s="21">
        <v>14.15</v>
      </c>
      <c r="C24" s="18"/>
      <c r="D24" s="18">
        <f t="shared" si="0"/>
        <v>0</v>
      </c>
      <c r="E24" s="21" t="s">
        <v>123</v>
      </c>
      <c r="F24" s="18">
        <v>173</v>
      </c>
      <c r="G24" s="10"/>
      <c r="H24" s="10">
        <f t="shared" si="1"/>
        <v>0</v>
      </c>
    </row>
    <row r="25" spans="1:8" x14ac:dyDescent="0.55000000000000004">
      <c r="A25" s="21" t="s">
        <v>124</v>
      </c>
      <c r="B25" s="21">
        <v>1.26</v>
      </c>
      <c r="C25" s="18"/>
      <c r="D25" s="18">
        <f t="shared" si="0"/>
        <v>0</v>
      </c>
      <c r="E25" s="21" t="s">
        <v>125</v>
      </c>
      <c r="F25" s="18">
        <v>3.73</v>
      </c>
      <c r="G25" s="10"/>
      <c r="H25" s="10">
        <f t="shared" si="1"/>
        <v>0</v>
      </c>
    </row>
    <row r="26" spans="1:8" x14ac:dyDescent="0.55000000000000004">
      <c r="A26" s="21" t="s">
        <v>126</v>
      </c>
      <c r="B26" s="21">
        <v>1.78</v>
      </c>
      <c r="C26" s="18"/>
      <c r="D26" s="18">
        <f t="shared" si="0"/>
        <v>0</v>
      </c>
      <c r="E26" s="21" t="s">
        <v>127</v>
      </c>
      <c r="F26" s="18">
        <v>943</v>
      </c>
      <c r="G26" s="10">
        <v>0.5</v>
      </c>
      <c r="H26" s="10">
        <f t="shared" si="1"/>
        <v>471.5</v>
      </c>
    </row>
    <row r="27" spans="1:8" x14ac:dyDescent="0.55000000000000004">
      <c r="A27" s="21" t="s">
        <v>128</v>
      </c>
      <c r="B27" s="21">
        <v>0.87</v>
      </c>
      <c r="C27" s="18"/>
      <c r="D27" s="18">
        <f t="shared" si="0"/>
        <v>0</v>
      </c>
      <c r="E27" s="21" t="s">
        <v>129</v>
      </c>
      <c r="F27" s="18">
        <v>6.81</v>
      </c>
      <c r="G27" s="10">
        <v>30</v>
      </c>
      <c r="H27" s="10">
        <f t="shared" si="1"/>
        <v>204.29999999999998</v>
      </c>
    </row>
    <row r="28" spans="1:8" x14ac:dyDescent="0.55000000000000004">
      <c r="A28" s="21" t="s">
        <v>130</v>
      </c>
      <c r="B28" s="21">
        <v>0.25</v>
      </c>
      <c r="C28" s="18"/>
      <c r="D28" s="18">
        <f t="shared" si="0"/>
        <v>0</v>
      </c>
      <c r="E28" s="21" t="s">
        <v>131</v>
      </c>
      <c r="F28" s="18">
        <v>1310</v>
      </c>
      <c r="G28" s="10"/>
      <c r="H28" s="10">
        <f t="shared" si="1"/>
        <v>0</v>
      </c>
    </row>
    <row r="29" spans="1:8" x14ac:dyDescent="0.55000000000000004">
      <c r="A29" s="21" t="s">
        <v>132</v>
      </c>
      <c r="B29" s="21">
        <v>849</v>
      </c>
      <c r="C29" s="18">
        <v>0.75</v>
      </c>
      <c r="D29" s="18">
        <f t="shared" si="0"/>
        <v>636.75</v>
      </c>
      <c r="E29" s="21" t="s">
        <v>133</v>
      </c>
      <c r="F29" s="18">
        <v>531</v>
      </c>
      <c r="G29" s="10"/>
      <c r="H29" s="10">
        <f t="shared" si="1"/>
        <v>0</v>
      </c>
    </row>
    <row r="30" spans="1:8" x14ac:dyDescent="0.55000000000000004">
      <c r="A30" s="21" t="s">
        <v>134</v>
      </c>
      <c r="B30" s="21">
        <v>3.68</v>
      </c>
      <c r="C30" s="18"/>
      <c r="D30" s="18">
        <f t="shared" si="0"/>
        <v>0</v>
      </c>
      <c r="E30" s="21" t="s">
        <v>135</v>
      </c>
      <c r="F30" s="18"/>
      <c r="G30" s="10"/>
      <c r="H30" s="10">
        <f t="shared" si="1"/>
        <v>0</v>
      </c>
    </row>
    <row r="31" spans="1:8" x14ac:dyDescent="0.55000000000000004">
      <c r="A31" s="21" t="s">
        <v>136</v>
      </c>
      <c r="B31" s="21">
        <v>2655</v>
      </c>
      <c r="C31" s="18"/>
      <c r="D31" s="18">
        <f t="shared" si="0"/>
        <v>0</v>
      </c>
      <c r="E31" s="21" t="s">
        <v>137</v>
      </c>
      <c r="F31" s="18">
        <v>1.48</v>
      </c>
      <c r="G31" s="10"/>
      <c r="H31" s="10">
        <f t="shared" si="1"/>
        <v>0</v>
      </c>
    </row>
    <row r="32" spans="1:8" x14ac:dyDescent="0.55000000000000004">
      <c r="A32" s="21" t="s">
        <v>138</v>
      </c>
      <c r="B32" s="21">
        <v>3.6</v>
      </c>
      <c r="C32" s="18"/>
      <c r="D32" s="18">
        <f t="shared" si="0"/>
        <v>0</v>
      </c>
      <c r="E32" s="21" t="s">
        <v>139</v>
      </c>
      <c r="F32" s="18">
        <v>10.74</v>
      </c>
      <c r="G32" s="10"/>
      <c r="H32" s="10">
        <f t="shared" si="1"/>
        <v>0</v>
      </c>
    </row>
    <row r="33" spans="1:8" x14ac:dyDescent="0.55000000000000004">
      <c r="A33" s="21" t="s">
        <v>140</v>
      </c>
      <c r="B33" s="21">
        <v>0.85</v>
      </c>
      <c r="C33" s="18"/>
      <c r="D33" s="18">
        <f t="shared" si="0"/>
        <v>0</v>
      </c>
      <c r="E33" s="21" t="s">
        <v>141</v>
      </c>
      <c r="F33" s="18"/>
      <c r="G33" s="10"/>
      <c r="H33" s="10">
        <f t="shared" si="1"/>
        <v>0</v>
      </c>
    </row>
    <row r="34" spans="1:8" x14ac:dyDescent="0.55000000000000004">
      <c r="A34" s="21" t="s">
        <v>142</v>
      </c>
      <c r="B34" s="21">
        <v>0.78</v>
      </c>
      <c r="C34" s="18"/>
      <c r="D34" s="18">
        <f t="shared" si="0"/>
        <v>0</v>
      </c>
      <c r="E34" s="21" t="s">
        <v>143</v>
      </c>
      <c r="F34" s="18">
        <v>709</v>
      </c>
      <c r="G34" s="10">
        <v>0.25</v>
      </c>
      <c r="H34" s="10">
        <f t="shared" si="1"/>
        <v>177.25</v>
      </c>
    </row>
    <row r="35" spans="1:8" x14ac:dyDescent="0.55000000000000004">
      <c r="A35" s="21" t="s">
        <v>144</v>
      </c>
      <c r="B35" s="21">
        <v>0.86</v>
      </c>
      <c r="C35" s="18"/>
      <c r="D35" s="18">
        <f t="shared" si="0"/>
        <v>0</v>
      </c>
      <c r="E35" s="21" t="s">
        <v>145</v>
      </c>
      <c r="F35" s="18">
        <v>4.51</v>
      </c>
      <c r="G35" s="10"/>
      <c r="H35" s="10">
        <f t="shared" si="1"/>
        <v>0</v>
      </c>
    </row>
    <row r="36" spans="1:8" x14ac:dyDescent="0.55000000000000004">
      <c r="A36" s="21" t="s">
        <v>146</v>
      </c>
      <c r="B36" s="21">
        <v>1.45</v>
      </c>
      <c r="C36" s="18"/>
      <c r="D36" s="18">
        <f t="shared" si="0"/>
        <v>0</v>
      </c>
      <c r="E36" s="21" t="s">
        <v>147</v>
      </c>
      <c r="F36" s="18"/>
      <c r="G36" s="10"/>
      <c r="H36" s="10">
        <f t="shared" si="1"/>
        <v>0</v>
      </c>
    </row>
    <row r="37" spans="1:8" x14ac:dyDescent="0.55000000000000004">
      <c r="A37" s="21" t="s">
        <v>148</v>
      </c>
      <c r="B37" s="21">
        <v>1034</v>
      </c>
      <c r="C37" s="18"/>
      <c r="D37" s="18">
        <f t="shared" si="0"/>
        <v>0</v>
      </c>
      <c r="E37" s="21" t="s">
        <v>149</v>
      </c>
      <c r="F37" s="18">
        <v>198</v>
      </c>
      <c r="G37" s="10">
        <v>0.5</v>
      </c>
      <c r="H37" s="10">
        <f t="shared" si="1"/>
        <v>99</v>
      </c>
    </row>
    <row r="38" spans="1:8" x14ac:dyDescent="0.55000000000000004">
      <c r="A38" s="21" t="s">
        <v>150</v>
      </c>
      <c r="B38" s="21">
        <v>0.63</v>
      </c>
      <c r="C38" s="18"/>
      <c r="D38" s="18">
        <f t="shared" si="0"/>
        <v>0</v>
      </c>
      <c r="E38" s="10" t="s">
        <v>151</v>
      </c>
      <c r="F38" s="18"/>
      <c r="G38" s="10"/>
      <c r="H38" s="10">
        <f t="shared" si="1"/>
        <v>0</v>
      </c>
    </row>
    <row r="40" spans="1:8" x14ac:dyDescent="0.55000000000000004">
      <c r="D40" s="38">
        <f>SUM(D2:D38)</f>
        <v>636.75</v>
      </c>
      <c r="H40" s="36">
        <f>SUM(H2:H38)</f>
        <v>1385.4875</v>
      </c>
    </row>
    <row r="41" spans="1:8" x14ac:dyDescent="0.55000000000000004">
      <c r="E41" s="37">
        <f>SUM(D40,H40)</f>
        <v>2022.2375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A6E66-3008-4ED4-9CB0-89B5FE0036EB}">
  <dimension ref="A1:L41"/>
  <sheetViews>
    <sheetView zoomScaleNormal="100" workbookViewId="0">
      <selection activeCell="C11" sqref="C11"/>
    </sheetView>
  </sheetViews>
  <sheetFormatPr defaultColWidth="8.83203125" defaultRowHeight="18" x14ac:dyDescent="0.55000000000000004"/>
  <cols>
    <col min="1" max="1" width="23.1640625" customWidth="1"/>
    <col min="2" max="2" width="11.1640625" customWidth="1"/>
    <col min="3" max="3" width="10.6640625" customWidth="1"/>
    <col min="4" max="4" width="14.1640625" customWidth="1"/>
    <col min="5" max="5" width="21.6640625" customWidth="1"/>
    <col min="6" max="6" width="13.33203125" customWidth="1"/>
    <col min="7" max="7" width="10" customWidth="1"/>
    <col min="8" max="8" width="9.33203125" bestFit="1" customWidth="1"/>
  </cols>
  <sheetData>
    <row r="1" spans="1:12" x14ac:dyDescent="0.55000000000000004">
      <c r="A1" s="3" t="s">
        <v>0</v>
      </c>
      <c r="B1" s="4" t="s">
        <v>3</v>
      </c>
      <c r="C1" s="4" t="s">
        <v>1</v>
      </c>
      <c r="D1" s="4" t="s">
        <v>4</v>
      </c>
      <c r="E1" s="3" t="s">
        <v>0</v>
      </c>
      <c r="F1" s="3" t="s">
        <v>3</v>
      </c>
      <c r="G1" s="3" t="s">
        <v>1</v>
      </c>
      <c r="H1" s="3" t="s">
        <v>4</v>
      </c>
    </row>
    <row r="2" spans="1:12" x14ac:dyDescent="0.55000000000000004">
      <c r="A2" s="21" t="s">
        <v>152</v>
      </c>
      <c r="B2" s="21">
        <v>197</v>
      </c>
      <c r="C2" s="18">
        <v>0.25</v>
      </c>
      <c r="D2" s="18">
        <f>SUM(C2*B2)</f>
        <v>49.25</v>
      </c>
      <c r="E2" s="10" t="s">
        <v>153</v>
      </c>
      <c r="F2" s="10">
        <v>454</v>
      </c>
      <c r="G2" s="18"/>
      <c r="H2" s="10">
        <f>SUM(G2*F2)</f>
        <v>0</v>
      </c>
    </row>
    <row r="3" spans="1:12" x14ac:dyDescent="0.55000000000000004">
      <c r="A3" s="21" t="s">
        <v>154</v>
      </c>
      <c r="B3" s="21">
        <v>64.8</v>
      </c>
      <c r="C3" s="18"/>
      <c r="D3" s="18">
        <f t="shared" ref="D3:D38" si="0">SUM(C3*B3)</f>
        <v>0</v>
      </c>
      <c r="E3" s="10" t="s">
        <v>155</v>
      </c>
      <c r="F3" s="10">
        <v>437</v>
      </c>
      <c r="G3" s="18">
        <v>4.25</v>
      </c>
      <c r="H3" s="10">
        <f>SUM(G3*F3)</f>
        <v>1857.25</v>
      </c>
    </row>
    <row r="4" spans="1:12" x14ac:dyDescent="0.55000000000000004">
      <c r="A4" s="21" t="s">
        <v>156</v>
      </c>
      <c r="B4" s="21">
        <v>0.87</v>
      </c>
      <c r="C4" s="18"/>
      <c r="D4" s="18">
        <f t="shared" si="0"/>
        <v>0</v>
      </c>
      <c r="E4" s="10" t="s">
        <v>157</v>
      </c>
      <c r="F4" s="10">
        <v>0.7</v>
      </c>
      <c r="G4" s="18"/>
      <c r="H4" s="10">
        <f t="shared" ref="H4:H38" si="1">SUM(G4*F4)</f>
        <v>0</v>
      </c>
    </row>
    <row r="5" spans="1:12" x14ac:dyDescent="0.55000000000000004">
      <c r="A5" s="21" t="s">
        <v>158</v>
      </c>
      <c r="B5" s="21">
        <v>105.84</v>
      </c>
      <c r="C5" s="18">
        <v>2</v>
      </c>
      <c r="D5" s="18">
        <f t="shared" si="0"/>
        <v>211.68</v>
      </c>
      <c r="E5" s="10" t="s">
        <v>159</v>
      </c>
      <c r="F5" s="10">
        <v>3.15</v>
      </c>
      <c r="G5" s="18"/>
      <c r="H5" s="10">
        <f t="shared" si="1"/>
        <v>0</v>
      </c>
    </row>
    <row r="6" spans="1:12" x14ac:dyDescent="0.55000000000000004">
      <c r="A6" s="21" t="s">
        <v>160</v>
      </c>
      <c r="B6" s="21">
        <v>1800</v>
      </c>
      <c r="C6" s="18">
        <v>2</v>
      </c>
      <c r="D6" s="18">
        <f t="shared" si="0"/>
        <v>3600</v>
      </c>
      <c r="E6" s="10" t="s">
        <v>161</v>
      </c>
      <c r="F6" s="10">
        <v>1.54</v>
      </c>
      <c r="G6" s="18"/>
      <c r="H6" s="10">
        <f t="shared" si="1"/>
        <v>0</v>
      </c>
    </row>
    <row r="7" spans="1:12" x14ac:dyDescent="0.55000000000000004">
      <c r="A7" s="32" t="s">
        <v>162</v>
      </c>
      <c r="B7" s="21">
        <v>769</v>
      </c>
      <c r="C7" s="18">
        <v>0.5</v>
      </c>
      <c r="D7" s="18">
        <f t="shared" si="0"/>
        <v>384.5</v>
      </c>
      <c r="E7" s="10" t="s">
        <v>163</v>
      </c>
      <c r="F7" s="10">
        <v>1.6</v>
      </c>
      <c r="G7" s="18"/>
      <c r="H7" s="10">
        <f t="shared" si="1"/>
        <v>0</v>
      </c>
      <c r="L7" s="11"/>
    </row>
    <row r="8" spans="1:12" x14ac:dyDescent="0.55000000000000004">
      <c r="A8" s="21" t="s">
        <v>164</v>
      </c>
      <c r="B8" s="21">
        <v>865</v>
      </c>
      <c r="C8" s="18"/>
      <c r="D8" s="18">
        <f t="shared" si="0"/>
        <v>0</v>
      </c>
      <c r="E8" s="10" t="s">
        <v>165</v>
      </c>
      <c r="F8" s="10">
        <v>98050</v>
      </c>
      <c r="G8" s="18"/>
      <c r="H8" s="10">
        <f t="shared" si="1"/>
        <v>0</v>
      </c>
      <c r="L8" s="11"/>
    </row>
    <row r="9" spans="1:12" x14ac:dyDescent="0.55000000000000004">
      <c r="A9" s="21" t="s">
        <v>166</v>
      </c>
      <c r="B9" s="21">
        <v>2.9</v>
      </c>
      <c r="C9" s="18"/>
      <c r="D9" s="18">
        <f t="shared" si="0"/>
        <v>0</v>
      </c>
      <c r="E9" s="10" t="s">
        <v>167</v>
      </c>
      <c r="F9" s="10">
        <v>2.5299999999999998</v>
      </c>
      <c r="G9" s="18"/>
      <c r="H9" s="10">
        <f t="shared" si="1"/>
        <v>0</v>
      </c>
      <c r="L9" s="11"/>
    </row>
    <row r="10" spans="1:12" x14ac:dyDescent="0.55000000000000004">
      <c r="A10" s="21" t="s">
        <v>168</v>
      </c>
      <c r="B10" s="21">
        <v>1038</v>
      </c>
      <c r="C10" s="18">
        <v>0.25</v>
      </c>
      <c r="D10" s="18">
        <f t="shared" si="0"/>
        <v>259.5</v>
      </c>
      <c r="E10" s="10" t="s">
        <v>169</v>
      </c>
      <c r="F10" s="10">
        <v>1.27</v>
      </c>
      <c r="G10" s="18"/>
      <c r="H10" s="10">
        <f t="shared" si="1"/>
        <v>0</v>
      </c>
      <c r="L10" s="11"/>
    </row>
    <row r="11" spans="1:12" x14ac:dyDescent="0.55000000000000004">
      <c r="A11" s="35" t="s">
        <v>170</v>
      </c>
      <c r="B11" s="21">
        <v>3.46</v>
      </c>
      <c r="C11" s="18">
        <v>20</v>
      </c>
      <c r="D11" s="18">
        <f t="shared" si="0"/>
        <v>69.2</v>
      </c>
      <c r="E11" s="10" t="s">
        <v>171</v>
      </c>
      <c r="F11" s="10">
        <v>2.5499999999999998</v>
      </c>
      <c r="G11" s="18"/>
      <c r="H11" s="10">
        <f t="shared" si="1"/>
        <v>0</v>
      </c>
      <c r="L11" s="11"/>
    </row>
    <row r="12" spans="1:12" x14ac:dyDescent="0.55000000000000004">
      <c r="A12" s="21" t="s">
        <v>172</v>
      </c>
      <c r="B12" s="21">
        <v>0.22</v>
      </c>
      <c r="C12" s="18"/>
      <c r="D12" s="18">
        <f t="shared" si="0"/>
        <v>0</v>
      </c>
      <c r="E12" s="10" t="s">
        <v>173</v>
      </c>
      <c r="F12" s="10">
        <v>120.53</v>
      </c>
      <c r="G12" s="18"/>
      <c r="H12" s="10">
        <f t="shared" si="1"/>
        <v>0</v>
      </c>
      <c r="L12" s="11"/>
    </row>
    <row r="13" spans="1:12" x14ac:dyDescent="0.55000000000000004">
      <c r="A13" s="21" t="s">
        <v>174</v>
      </c>
      <c r="B13" s="21">
        <v>0.9</v>
      </c>
      <c r="C13" s="18"/>
      <c r="D13" s="18">
        <f t="shared" si="0"/>
        <v>0</v>
      </c>
      <c r="E13" s="10" t="s">
        <v>175</v>
      </c>
      <c r="F13" s="10">
        <v>17.23</v>
      </c>
      <c r="G13" s="18"/>
      <c r="H13" s="10">
        <f t="shared" si="1"/>
        <v>0</v>
      </c>
      <c r="L13" s="11"/>
    </row>
    <row r="14" spans="1:12" x14ac:dyDescent="0.55000000000000004">
      <c r="A14" s="35" t="s">
        <v>176</v>
      </c>
      <c r="B14" s="21">
        <v>2.58</v>
      </c>
      <c r="C14" s="18"/>
      <c r="D14" s="18">
        <f t="shared" si="0"/>
        <v>0</v>
      </c>
      <c r="E14" s="10" t="s">
        <v>177</v>
      </c>
      <c r="F14" s="10">
        <v>0.78</v>
      </c>
      <c r="G14" s="18"/>
      <c r="H14" s="10">
        <f t="shared" si="1"/>
        <v>0</v>
      </c>
      <c r="L14" s="11"/>
    </row>
    <row r="15" spans="1:12" x14ac:dyDescent="0.55000000000000004">
      <c r="A15" s="21" t="s">
        <v>178</v>
      </c>
      <c r="B15" s="21">
        <v>0.1</v>
      </c>
      <c r="C15" s="18"/>
      <c r="D15" s="18">
        <f t="shared" si="0"/>
        <v>0</v>
      </c>
      <c r="E15" s="10" t="s">
        <v>179</v>
      </c>
      <c r="F15" s="10">
        <v>2.1800000000000002</v>
      </c>
      <c r="G15" s="18"/>
      <c r="H15" s="10">
        <f t="shared" si="1"/>
        <v>0</v>
      </c>
      <c r="L15" s="11"/>
    </row>
    <row r="16" spans="1:12" x14ac:dyDescent="0.55000000000000004">
      <c r="A16" s="21" t="s">
        <v>180</v>
      </c>
      <c r="B16" s="21">
        <v>74</v>
      </c>
      <c r="C16" s="18">
        <v>2</v>
      </c>
      <c r="D16" s="18">
        <f t="shared" si="0"/>
        <v>148</v>
      </c>
      <c r="E16" s="10" t="s">
        <v>181</v>
      </c>
      <c r="F16" s="10">
        <v>2.4</v>
      </c>
      <c r="G16" s="18"/>
      <c r="H16" s="10">
        <f t="shared" si="1"/>
        <v>0</v>
      </c>
      <c r="L16" s="11"/>
    </row>
    <row r="17" spans="1:12" x14ac:dyDescent="0.55000000000000004">
      <c r="A17" s="21" t="s">
        <v>182</v>
      </c>
      <c r="B17" s="21">
        <v>68</v>
      </c>
      <c r="C17" s="18">
        <v>2.25</v>
      </c>
      <c r="D17" s="18">
        <f t="shared" si="0"/>
        <v>153</v>
      </c>
      <c r="E17" s="10" t="s">
        <v>183</v>
      </c>
      <c r="F17" s="10">
        <v>1.41</v>
      </c>
      <c r="G17" s="18"/>
      <c r="H17" s="10">
        <f t="shared" si="1"/>
        <v>0</v>
      </c>
      <c r="L17" s="11"/>
    </row>
    <row r="18" spans="1:12" x14ac:dyDescent="0.55000000000000004">
      <c r="A18" s="21" t="s">
        <v>184</v>
      </c>
      <c r="B18" s="21">
        <v>1.38</v>
      </c>
      <c r="C18" s="18"/>
      <c r="D18" s="18">
        <f t="shared" si="0"/>
        <v>0</v>
      </c>
      <c r="E18" s="10" t="s">
        <v>185</v>
      </c>
      <c r="F18" s="10">
        <v>0.42</v>
      </c>
      <c r="G18" s="18"/>
      <c r="H18" s="10">
        <f t="shared" si="1"/>
        <v>0</v>
      </c>
      <c r="L18" s="11"/>
    </row>
    <row r="19" spans="1:12" x14ac:dyDescent="0.55000000000000004">
      <c r="A19" s="21" t="s">
        <v>186</v>
      </c>
      <c r="B19" s="21">
        <v>298</v>
      </c>
      <c r="C19" s="18"/>
      <c r="D19" s="18">
        <f t="shared" si="0"/>
        <v>0</v>
      </c>
      <c r="E19" s="10" t="s">
        <v>187</v>
      </c>
      <c r="F19" s="10">
        <v>3.86</v>
      </c>
      <c r="G19" s="18"/>
      <c r="H19" s="10">
        <f t="shared" si="1"/>
        <v>0</v>
      </c>
      <c r="L19" s="11"/>
    </row>
    <row r="20" spans="1:12" x14ac:dyDescent="0.55000000000000004">
      <c r="A20" s="21" t="s">
        <v>188</v>
      </c>
      <c r="B20" s="21">
        <v>501</v>
      </c>
      <c r="C20" s="18">
        <v>2</v>
      </c>
      <c r="D20" s="18">
        <f t="shared" si="0"/>
        <v>1002</v>
      </c>
      <c r="E20" s="10" t="s">
        <v>189</v>
      </c>
      <c r="F20" s="10">
        <v>22.38</v>
      </c>
      <c r="G20" s="18"/>
      <c r="H20" s="10">
        <f t="shared" si="1"/>
        <v>0</v>
      </c>
      <c r="L20" s="11"/>
    </row>
    <row r="21" spans="1:12" x14ac:dyDescent="0.55000000000000004">
      <c r="A21" s="21"/>
      <c r="B21" s="21"/>
      <c r="C21" s="18"/>
      <c r="D21" s="18">
        <f t="shared" si="0"/>
        <v>0</v>
      </c>
      <c r="E21" s="10" t="s">
        <v>190</v>
      </c>
      <c r="F21" s="10">
        <v>0.57999999999999996</v>
      </c>
      <c r="G21" s="18"/>
      <c r="H21" s="10">
        <f t="shared" si="1"/>
        <v>0</v>
      </c>
    </row>
    <row r="22" spans="1:12" x14ac:dyDescent="0.55000000000000004">
      <c r="A22" s="21" t="s">
        <v>191</v>
      </c>
      <c r="B22" s="21">
        <v>617</v>
      </c>
      <c r="C22" s="18">
        <v>1.5</v>
      </c>
      <c r="D22" s="18">
        <f t="shared" si="0"/>
        <v>925.5</v>
      </c>
      <c r="E22" s="10" t="s">
        <v>192</v>
      </c>
      <c r="F22" s="10">
        <v>31.85</v>
      </c>
      <c r="G22" s="18"/>
      <c r="H22" s="10">
        <f t="shared" si="1"/>
        <v>0</v>
      </c>
    </row>
    <row r="23" spans="1:12" x14ac:dyDescent="0.55000000000000004">
      <c r="A23" s="21" t="s">
        <v>193</v>
      </c>
      <c r="B23" s="21">
        <v>1534</v>
      </c>
      <c r="C23" s="18">
        <v>2.5</v>
      </c>
      <c r="D23" s="18">
        <f t="shared" si="0"/>
        <v>3835</v>
      </c>
      <c r="E23" s="10" t="s">
        <v>194</v>
      </c>
      <c r="F23" s="10">
        <v>2.0299999999999998</v>
      </c>
      <c r="G23" s="18"/>
      <c r="H23" s="10">
        <f t="shared" si="1"/>
        <v>0</v>
      </c>
    </row>
    <row r="24" spans="1:12" x14ac:dyDescent="0.55000000000000004">
      <c r="A24" s="35" t="s">
        <v>195</v>
      </c>
      <c r="B24" s="21">
        <v>3.71</v>
      </c>
      <c r="C24" s="18">
        <v>0.75</v>
      </c>
      <c r="D24" s="18">
        <f t="shared" si="0"/>
        <v>2.7824999999999998</v>
      </c>
      <c r="E24" s="10" t="s">
        <v>196</v>
      </c>
      <c r="F24" s="10">
        <v>0.51</v>
      </c>
      <c r="G24" s="18"/>
      <c r="H24" s="10">
        <f t="shared" si="1"/>
        <v>0</v>
      </c>
    </row>
    <row r="25" spans="1:12" x14ac:dyDescent="0.55000000000000004">
      <c r="A25" s="21" t="s">
        <v>197</v>
      </c>
      <c r="B25" s="21">
        <v>863</v>
      </c>
      <c r="C25" s="18">
        <v>3.75</v>
      </c>
      <c r="D25" s="18">
        <f t="shared" si="0"/>
        <v>3236.25</v>
      </c>
      <c r="E25" s="10" t="s">
        <v>198</v>
      </c>
      <c r="F25" s="10">
        <v>0.83</v>
      </c>
      <c r="G25" s="18"/>
      <c r="H25" s="10">
        <f t="shared" si="1"/>
        <v>0</v>
      </c>
    </row>
    <row r="26" spans="1:12" x14ac:dyDescent="0.55000000000000004">
      <c r="A26" s="21"/>
      <c r="B26" s="21"/>
      <c r="C26" s="18"/>
      <c r="D26" s="18">
        <f t="shared" si="0"/>
        <v>0</v>
      </c>
      <c r="E26" s="10" t="s">
        <v>199</v>
      </c>
      <c r="F26" s="10">
        <v>1.49</v>
      </c>
      <c r="G26" s="18"/>
      <c r="H26" s="10">
        <f t="shared" si="1"/>
        <v>0</v>
      </c>
    </row>
    <row r="27" spans="1:12" x14ac:dyDescent="0.55000000000000004">
      <c r="A27" s="21" t="s">
        <v>200</v>
      </c>
      <c r="B27" s="21">
        <v>0.91</v>
      </c>
      <c r="C27" s="18"/>
      <c r="D27" s="18">
        <f t="shared" si="0"/>
        <v>0</v>
      </c>
      <c r="E27" s="10" t="s">
        <v>201</v>
      </c>
      <c r="F27" s="10">
        <v>0.41</v>
      </c>
      <c r="G27" s="18"/>
      <c r="H27" s="10">
        <f t="shared" si="1"/>
        <v>0</v>
      </c>
    </row>
    <row r="28" spans="1:12" x14ac:dyDescent="0.55000000000000004">
      <c r="A28" s="21" t="s">
        <v>202</v>
      </c>
      <c r="B28" s="21">
        <v>1.05</v>
      </c>
      <c r="C28" s="18"/>
      <c r="D28" s="18">
        <f t="shared" si="0"/>
        <v>0</v>
      </c>
      <c r="E28" s="10" t="s">
        <v>203</v>
      </c>
      <c r="F28" s="10">
        <v>498.15</v>
      </c>
      <c r="G28" s="18"/>
      <c r="H28" s="10">
        <f t="shared" si="1"/>
        <v>0</v>
      </c>
    </row>
    <row r="29" spans="1:12" x14ac:dyDescent="0.55000000000000004">
      <c r="A29" s="21" t="s">
        <v>204</v>
      </c>
      <c r="B29" s="21">
        <v>5.46</v>
      </c>
      <c r="C29" s="18"/>
      <c r="D29" s="18">
        <f t="shared" si="0"/>
        <v>0</v>
      </c>
      <c r="E29" s="10" t="s">
        <v>205</v>
      </c>
      <c r="F29" s="10">
        <v>5.3</v>
      </c>
      <c r="G29" s="18"/>
      <c r="H29" s="10">
        <f t="shared" si="1"/>
        <v>0</v>
      </c>
    </row>
    <row r="30" spans="1:12" x14ac:dyDescent="0.55000000000000004">
      <c r="A30" s="21" t="s">
        <v>206</v>
      </c>
      <c r="B30" s="21">
        <v>7.41</v>
      </c>
      <c r="C30" s="18"/>
      <c r="D30" s="18">
        <f t="shared" si="0"/>
        <v>0</v>
      </c>
      <c r="E30" s="10" t="s">
        <v>207</v>
      </c>
      <c r="F30" s="10">
        <v>71.28</v>
      </c>
      <c r="G30" s="18"/>
      <c r="H30" s="10">
        <f t="shared" si="1"/>
        <v>0</v>
      </c>
    </row>
    <row r="31" spans="1:12" x14ac:dyDescent="0.55000000000000004">
      <c r="A31" s="21" t="s">
        <v>208</v>
      </c>
      <c r="B31" s="21">
        <v>2</v>
      </c>
      <c r="C31" s="18"/>
      <c r="D31" s="18">
        <f t="shared" si="0"/>
        <v>0</v>
      </c>
      <c r="E31" s="10" t="s">
        <v>209</v>
      </c>
      <c r="F31" s="10">
        <v>0.97</v>
      </c>
      <c r="G31" s="18"/>
      <c r="H31" s="10">
        <f t="shared" si="1"/>
        <v>0</v>
      </c>
    </row>
    <row r="32" spans="1:12" x14ac:dyDescent="0.55000000000000004">
      <c r="A32" s="21" t="s">
        <v>210</v>
      </c>
      <c r="B32" s="21">
        <v>88.92</v>
      </c>
      <c r="C32" s="18"/>
      <c r="D32" s="18">
        <f t="shared" si="0"/>
        <v>0</v>
      </c>
      <c r="E32" s="10" t="s">
        <v>211</v>
      </c>
      <c r="F32" s="10">
        <v>51.9</v>
      </c>
      <c r="G32" s="18"/>
      <c r="H32" s="10">
        <f t="shared" si="1"/>
        <v>0</v>
      </c>
    </row>
    <row r="33" spans="1:8" x14ac:dyDescent="0.55000000000000004">
      <c r="A33" s="21"/>
      <c r="B33" s="21"/>
      <c r="C33" s="18"/>
      <c r="D33" s="18">
        <f t="shared" si="0"/>
        <v>0</v>
      </c>
      <c r="E33" s="10" t="s">
        <v>212</v>
      </c>
      <c r="F33" s="10">
        <v>0.64</v>
      </c>
      <c r="G33" s="18"/>
      <c r="H33" s="10">
        <f t="shared" si="1"/>
        <v>0</v>
      </c>
    </row>
    <row r="34" spans="1:8" x14ac:dyDescent="0.55000000000000004">
      <c r="A34" s="21" t="s">
        <v>213</v>
      </c>
      <c r="B34" s="21">
        <v>1.7</v>
      </c>
      <c r="C34" s="18"/>
      <c r="D34" s="18">
        <f t="shared" si="0"/>
        <v>0</v>
      </c>
      <c r="E34" s="10" t="s">
        <v>214</v>
      </c>
      <c r="F34" s="10">
        <v>1.28</v>
      </c>
      <c r="G34" s="18">
        <v>340</v>
      </c>
      <c r="H34" s="10">
        <f t="shared" si="1"/>
        <v>435.2</v>
      </c>
    </row>
    <row r="35" spans="1:8" x14ac:dyDescent="0.55000000000000004">
      <c r="A35" s="21" t="s">
        <v>215</v>
      </c>
      <c r="B35" s="21">
        <v>2.8</v>
      </c>
      <c r="C35" s="18"/>
      <c r="D35" s="18">
        <f t="shared" si="0"/>
        <v>0</v>
      </c>
      <c r="E35" s="10" t="s">
        <v>216</v>
      </c>
      <c r="F35" s="10">
        <v>198</v>
      </c>
      <c r="G35" s="18">
        <v>2</v>
      </c>
      <c r="H35" s="10">
        <f t="shared" si="1"/>
        <v>396</v>
      </c>
    </row>
    <row r="36" spans="1:8" x14ac:dyDescent="0.55000000000000004">
      <c r="A36" s="10" t="s">
        <v>217</v>
      </c>
      <c r="B36" s="10">
        <v>4.7300000000000004</v>
      </c>
      <c r="C36" s="18"/>
      <c r="D36" s="18">
        <f>SUM(C36*B36)</f>
        <v>0</v>
      </c>
      <c r="E36" s="10" t="s">
        <v>218</v>
      </c>
      <c r="F36" s="10">
        <v>128</v>
      </c>
      <c r="G36" s="18">
        <v>1.5</v>
      </c>
      <c r="H36" s="10">
        <f t="shared" si="1"/>
        <v>192</v>
      </c>
    </row>
    <row r="37" spans="1:8" x14ac:dyDescent="0.55000000000000004">
      <c r="A37" s="10" t="s">
        <v>219</v>
      </c>
      <c r="B37" s="10">
        <v>2.78</v>
      </c>
      <c r="C37" s="18"/>
      <c r="D37" s="18">
        <f t="shared" si="0"/>
        <v>0</v>
      </c>
      <c r="E37" s="10" t="s">
        <v>220</v>
      </c>
      <c r="F37" s="10">
        <v>893</v>
      </c>
      <c r="G37" s="18">
        <v>0.5</v>
      </c>
      <c r="H37" s="10">
        <f t="shared" si="1"/>
        <v>446.5</v>
      </c>
    </row>
    <row r="38" spans="1:8" x14ac:dyDescent="0.55000000000000004">
      <c r="A38" s="10" t="s">
        <v>221</v>
      </c>
      <c r="B38" s="10">
        <v>0.53</v>
      </c>
      <c r="C38" s="18"/>
      <c r="D38" s="18">
        <f t="shared" si="0"/>
        <v>0</v>
      </c>
      <c r="E38" s="10" t="s">
        <v>222</v>
      </c>
      <c r="F38" s="10"/>
      <c r="G38" s="10">
        <v>2</v>
      </c>
      <c r="H38" s="10">
        <f t="shared" si="1"/>
        <v>0</v>
      </c>
    </row>
    <row r="40" spans="1:8" x14ac:dyDescent="0.55000000000000004">
      <c r="D40" s="38">
        <f>SUM(D2:D38)</f>
        <v>13876.6625</v>
      </c>
      <c r="H40" s="36">
        <f>SUM(H2:H38)</f>
        <v>3326.95</v>
      </c>
    </row>
    <row r="41" spans="1:8" x14ac:dyDescent="0.55000000000000004">
      <c r="E41" s="37">
        <f>SUM(D40,H40)</f>
        <v>17203.612499999999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BCFA-EF48-48F1-B4E9-80C1339A361C}">
  <dimension ref="A1:H43"/>
  <sheetViews>
    <sheetView zoomScaleNormal="100" workbookViewId="0">
      <selection activeCell="F44" sqref="F44"/>
    </sheetView>
  </sheetViews>
  <sheetFormatPr defaultColWidth="8.83203125" defaultRowHeight="18" x14ac:dyDescent="0.55000000000000004"/>
  <cols>
    <col min="1" max="1" width="27" customWidth="1"/>
    <col min="2" max="2" width="13.83203125" style="11" customWidth="1"/>
    <col min="3" max="3" width="9.83203125" style="11" customWidth="1"/>
    <col min="4" max="4" width="14.6640625" style="11" customWidth="1"/>
    <col min="5" max="5" width="16.6640625" customWidth="1"/>
    <col min="6" max="6" width="16.33203125" customWidth="1"/>
    <col min="7" max="7" width="11" customWidth="1"/>
    <col min="8" max="8" width="9.6640625" bestFit="1" customWidth="1"/>
  </cols>
  <sheetData>
    <row r="1" spans="1:8" x14ac:dyDescent="0.55000000000000004">
      <c r="A1" s="3" t="s">
        <v>0</v>
      </c>
      <c r="B1" s="4" t="s">
        <v>3</v>
      </c>
      <c r="C1" s="4" t="s">
        <v>1</v>
      </c>
      <c r="D1" s="4" t="s">
        <v>4</v>
      </c>
      <c r="E1" s="3" t="s">
        <v>0</v>
      </c>
      <c r="F1" s="3" t="s">
        <v>3</v>
      </c>
      <c r="G1" s="3" t="s">
        <v>1</v>
      </c>
      <c r="H1" s="3" t="s">
        <v>4</v>
      </c>
    </row>
    <row r="2" spans="1:8" x14ac:dyDescent="0.55000000000000004">
      <c r="A2" s="10" t="s">
        <v>223</v>
      </c>
      <c r="B2" s="13">
        <v>236.25</v>
      </c>
      <c r="C2" s="13">
        <v>14</v>
      </c>
      <c r="D2" s="13">
        <f>SUM(C2*B2)</f>
        <v>3307.5</v>
      </c>
      <c r="E2" s="10" t="s">
        <v>224</v>
      </c>
      <c r="F2" s="10">
        <v>5.35</v>
      </c>
      <c r="G2" s="10"/>
      <c r="H2" s="10">
        <f>SUM(G2*F2)</f>
        <v>0</v>
      </c>
    </row>
    <row r="3" spans="1:8" x14ac:dyDescent="0.55000000000000004">
      <c r="A3" s="10" t="s">
        <v>225</v>
      </c>
      <c r="B3" s="13">
        <v>100</v>
      </c>
      <c r="C3" s="13">
        <v>9</v>
      </c>
      <c r="D3" s="13">
        <f t="shared" ref="D3:D37" si="0">SUM(C3*B3)</f>
        <v>900</v>
      </c>
      <c r="E3" s="10" t="s">
        <v>226</v>
      </c>
      <c r="F3" s="10">
        <v>11.34</v>
      </c>
      <c r="G3" s="10"/>
      <c r="H3" s="10">
        <f t="shared" ref="H3:H38" si="1">SUM(G3*F3)</f>
        <v>0</v>
      </c>
    </row>
    <row r="4" spans="1:8" x14ac:dyDescent="0.55000000000000004">
      <c r="A4" s="10" t="s">
        <v>227</v>
      </c>
      <c r="B4" s="13">
        <v>104</v>
      </c>
      <c r="C4" s="13">
        <v>15</v>
      </c>
      <c r="D4" s="13">
        <f t="shared" si="0"/>
        <v>1560</v>
      </c>
      <c r="E4" s="10" t="s">
        <v>228</v>
      </c>
      <c r="F4" s="10">
        <v>1.98</v>
      </c>
      <c r="G4" s="10"/>
      <c r="H4" s="10">
        <f t="shared" si="1"/>
        <v>0</v>
      </c>
    </row>
    <row r="5" spans="1:8" x14ac:dyDescent="0.55000000000000004">
      <c r="A5" s="10" t="s">
        <v>229</v>
      </c>
      <c r="B5" s="13">
        <v>64.099999999999994</v>
      </c>
      <c r="C5" s="13">
        <v>2</v>
      </c>
      <c r="D5" s="13">
        <f t="shared" si="0"/>
        <v>128.19999999999999</v>
      </c>
      <c r="E5" s="10" t="s">
        <v>230</v>
      </c>
      <c r="F5" s="10">
        <v>6.3</v>
      </c>
      <c r="G5" s="10"/>
      <c r="H5" s="10">
        <f t="shared" si="1"/>
        <v>0</v>
      </c>
    </row>
    <row r="6" spans="1:8" x14ac:dyDescent="0.55000000000000004">
      <c r="A6" s="10" t="s">
        <v>231</v>
      </c>
      <c r="B6" s="13">
        <v>75.2</v>
      </c>
      <c r="C6" s="13">
        <v>8</v>
      </c>
      <c r="D6" s="13">
        <f t="shared" si="0"/>
        <v>601.6</v>
      </c>
      <c r="E6" s="10" t="s">
        <v>232</v>
      </c>
      <c r="F6" s="10">
        <v>1.1399999999999999</v>
      </c>
      <c r="G6" s="10"/>
      <c r="H6" s="10">
        <f t="shared" si="1"/>
        <v>0</v>
      </c>
    </row>
    <row r="7" spans="1:8" x14ac:dyDescent="0.55000000000000004">
      <c r="A7" s="10" t="s">
        <v>233</v>
      </c>
      <c r="B7" s="13"/>
      <c r="C7" s="13"/>
      <c r="D7" s="13">
        <f t="shared" si="0"/>
        <v>0</v>
      </c>
      <c r="E7" s="10" t="s">
        <v>234</v>
      </c>
      <c r="F7" s="10">
        <v>0.99</v>
      </c>
      <c r="G7" s="10"/>
      <c r="H7" s="10">
        <f t="shared" si="1"/>
        <v>0</v>
      </c>
    </row>
    <row r="8" spans="1:8" x14ac:dyDescent="0.55000000000000004">
      <c r="A8" s="10" t="s">
        <v>235</v>
      </c>
      <c r="B8" s="13">
        <v>115.5</v>
      </c>
      <c r="C8" s="13">
        <v>16</v>
      </c>
      <c r="D8" s="13">
        <f t="shared" si="0"/>
        <v>1848</v>
      </c>
      <c r="E8" s="10" t="s">
        <v>236</v>
      </c>
      <c r="F8" s="10">
        <v>0.88</v>
      </c>
      <c r="G8" s="10"/>
      <c r="H8" s="10">
        <f t="shared" si="1"/>
        <v>0</v>
      </c>
    </row>
    <row r="9" spans="1:8" x14ac:dyDescent="0.55000000000000004">
      <c r="A9" s="10" t="s">
        <v>237</v>
      </c>
      <c r="B9" s="13">
        <v>180</v>
      </c>
      <c r="C9" s="13">
        <v>10</v>
      </c>
      <c r="D9" s="13">
        <f t="shared" si="0"/>
        <v>1800</v>
      </c>
      <c r="E9" s="10" t="s">
        <v>238</v>
      </c>
      <c r="F9" s="10">
        <v>0.25</v>
      </c>
      <c r="G9" s="10"/>
      <c r="H9" s="10">
        <f t="shared" si="1"/>
        <v>0</v>
      </c>
    </row>
    <row r="10" spans="1:8" x14ac:dyDescent="0.55000000000000004">
      <c r="A10" s="10" t="s">
        <v>239</v>
      </c>
      <c r="B10" s="13">
        <v>86.4</v>
      </c>
      <c r="C10" s="13">
        <v>16</v>
      </c>
      <c r="D10" s="13">
        <f t="shared" si="0"/>
        <v>1382.4</v>
      </c>
      <c r="E10" s="10" t="s">
        <v>240</v>
      </c>
      <c r="F10" s="10">
        <v>0.6</v>
      </c>
      <c r="G10" s="10"/>
      <c r="H10" s="10">
        <f t="shared" si="1"/>
        <v>0</v>
      </c>
    </row>
    <row r="11" spans="1:8" x14ac:dyDescent="0.55000000000000004">
      <c r="A11" s="10"/>
      <c r="B11" s="13"/>
      <c r="C11" s="13"/>
      <c r="D11" s="13">
        <f t="shared" si="0"/>
        <v>0</v>
      </c>
      <c r="E11" s="10"/>
      <c r="F11" s="10"/>
      <c r="G11" s="10"/>
      <c r="H11" s="10">
        <f t="shared" si="1"/>
        <v>0</v>
      </c>
    </row>
    <row r="12" spans="1:8" x14ac:dyDescent="0.55000000000000004">
      <c r="A12" s="10"/>
      <c r="B12" s="13"/>
      <c r="C12" s="13"/>
      <c r="D12" s="13">
        <f t="shared" si="0"/>
        <v>0</v>
      </c>
      <c r="E12" s="10" t="s">
        <v>241</v>
      </c>
      <c r="F12" s="10">
        <v>2185</v>
      </c>
      <c r="G12" s="10">
        <v>0.5</v>
      </c>
      <c r="H12" s="10">
        <f t="shared" si="1"/>
        <v>1092.5</v>
      </c>
    </row>
    <row r="13" spans="1:8" x14ac:dyDescent="0.55000000000000004">
      <c r="A13" s="10"/>
      <c r="B13" s="13"/>
      <c r="C13" s="13"/>
      <c r="D13" s="13">
        <f t="shared" si="0"/>
        <v>0</v>
      </c>
      <c r="E13" s="10" t="s">
        <v>242</v>
      </c>
      <c r="F13" s="10">
        <v>2500</v>
      </c>
      <c r="G13" s="10">
        <v>1.5</v>
      </c>
      <c r="H13" s="10">
        <f t="shared" si="1"/>
        <v>3750</v>
      </c>
    </row>
    <row r="14" spans="1:8" x14ac:dyDescent="0.55000000000000004">
      <c r="A14" s="10" t="s">
        <v>243</v>
      </c>
      <c r="B14" s="13">
        <v>1.17</v>
      </c>
      <c r="C14" s="13">
        <v>500</v>
      </c>
      <c r="D14" s="13">
        <f t="shared" si="0"/>
        <v>585</v>
      </c>
      <c r="E14" s="10" t="s">
        <v>244</v>
      </c>
      <c r="F14" s="10">
        <v>2480</v>
      </c>
      <c r="G14" s="10">
        <v>1.5</v>
      </c>
      <c r="H14" s="10">
        <f t="shared" si="1"/>
        <v>3720</v>
      </c>
    </row>
    <row r="15" spans="1:8" x14ac:dyDescent="0.55000000000000004">
      <c r="A15" s="10" t="s">
        <v>245</v>
      </c>
      <c r="B15" s="13">
        <v>1.22</v>
      </c>
      <c r="C15" s="13"/>
      <c r="D15" s="13">
        <f t="shared" si="0"/>
        <v>0</v>
      </c>
      <c r="E15" s="10" t="s">
        <v>246</v>
      </c>
      <c r="F15" s="10">
        <v>2250</v>
      </c>
      <c r="G15" s="10">
        <v>1.5</v>
      </c>
      <c r="H15" s="10">
        <f>SUM(G15*F15)</f>
        <v>3375</v>
      </c>
    </row>
    <row r="16" spans="1:8" x14ac:dyDescent="0.55000000000000004">
      <c r="A16" s="10" t="s">
        <v>247</v>
      </c>
      <c r="B16" s="13">
        <v>2160</v>
      </c>
      <c r="C16" s="13">
        <v>0.75</v>
      </c>
      <c r="D16" s="13">
        <f t="shared" si="0"/>
        <v>1620</v>
      </c>
      <c r="E16" s="10" t="s">
        <v>248</v>
      </c>
      <c r="F16" s="10">
        <v>1560</v>
      </c>
      <c r="G16" s="10">
        <v>1.5</v>
      </c>
      <c r="H16" s="10">
        <f t="shared" si="1"/>
        <v>2340</v>
      </c>
    </row>
    <row r="17" spans="1:8" x14ac:dyDescent="0.55000000000000004">
      <c r="A17" s="10" t="s">
        <v>249</v>
      </c>
      <c r="B17" s="13">
        <v>0.77</v>
      </c>
      <c r="C17" s="13"/>
      <c r="D17" s="13">
        <f t="shared" si="0"/>
        <v>0</v>
      </c>
      <c r="E17" s="10" t="s">
        <v>250</v>
      </c>
      <c r="F17" s="10">
        <v>295</v>
      </c>
      <c r="G17" s="10">
        <v>6</v>
      </c>
      <c r="H17" s="10">
        <f t="shared" si="1"/>
        <v>1770</v>
      </c>
    </row>
    <row r="18" spans="1:8" x14ac:dyDescent="0.55000000000000004">
      <c r="A18" s="10" t="s">
        <v>251</v>
      </c>
      <c r="B18" s="13">
        <v>0.89</v>
      </c>
      <c r="C18" s="13"/>
      <c r="D18" s="13">
        <f t="shared" si="0"/>
        <v>0</v>
      </c>
      <c r="E18" s="10" t="s">
        <v>252</v>
      </c>
      <c r="F18" s="10">
        <v>2530</v>
      </c>
      <c r="G18" s="10">
        <v>1.5</v>
      </c>
      <c r="H18" s="10">
        <f t="shared" si="1"/>
        <v>3795</v>
      </c>
    </row>
    <row r="19" spans="1:8" x14ac:dyDescent="0.55000000000000004">
      <c r="A19" s="10" t="s">
        <v>253</v>
      </c>
      <c r="B19" s="13">
        <v>1700</v>
      </c>
      <c r="C19" s="13">
        <v>1.5</v>
      </c>
      <c r="D19" s="13">
        <f t="shared" si="0"/>
        <v>2550</v>
      </c>
      <c r="E19" s="10" t="s">
        <v>254</v>
      </c>
      <c r="F19" s="10">
        <v>2750</v>
      </c>
      <c r="G19" s="10">
        <v>4</v>
      </c>
      <c r="H19" s="10">
        <f>SUM(G19*F19)</f>
        <v>11000</v>
      </c>
    </row>
    <row r="20" spans="1:8" x14ac:dyDescent="0.55000000000000004">
      <c r="A20" s="10" t="s">
        <v>255</v>
      </c>
      <c r="B20" s="13">
        <v>1.43</v>
      </c>
      <c r="C20" s="13"/>
      <c r="D20" s="13">
        <f t="shared" si="0"/>
        <v>0</v>
      </c>
      <c r="E20" s="10" t="s">
        <v>256</v>
      </c>
      <c r="F20" s="10">
        <v>430</v>
      </c>
      <c r="G20" s="10">
        <v>3</v>
      </c>
      <c r="H20" s="10">
        <f t="shared" si="1"/>
        <v>1290</v>
      </c>
    </row>
    <row r="21" spans="1:8" x14ac:dyDescent="0.55000000000000004">
      <c r="A21" s="10" t="s">
        <v>257</v>
      </c>
      <c r="B21" s="13">
        <v>756</v>
      </c>
      <c r="C21" s="13">
        <v>2</v>
      </c>
      <c r="D21" s="13">
        <f t="shared" si="0"/>
        <v>1512</v>
      </c>
      <c r="E21" s="10" t="s">
        <v>258</v>
      </c>
      <c r="F21" s="10">
        <v>2780</v>
      </c>
      <c r="G21" s="10">
        <v>0.5</v>
      </c>
      <c r="H21" s="10">
        <f t="shared" si="1"/>
        <v>1390</v>
      </c>
    </row>
    <row r="22" spans="1:8" x14ac:dyDescent="0.55000000000000004">
      <c r="A22" s="10" t="s">
        <v>259</v>
      </c>
      <c r="B22" s="13">
        <v>0.74</v>
      </c>
      <c r="C22" s="13"/>
      <c r="D22" s="13">
        <f t="shared" si="0"/>
        <v>0</v>
      </c>
      <c r="E22" s="10" t="s">
        <v>260</v>
      </c>
      <c r="F22" s="10">
        <v>1590</v>
      </c>
      <c r="G22" s="10"/>
      <c r="H22" s="10">
        <f t="shared" si="1"/>
        <v>0</v>
      </c>
    </row>
    <row r="23" spans="1:8" x14ac:dyDescent="0.55000000000000004">
      <c r="A23" s="10" t="s">
        <v>261</v>
      </c>
      <c r="B23" s="13">
        <v>2.2799999999999998</v>
      </c>
      <c r="C23" s="13"/>
      <c r="D23" s="13">
        <f t="shared" si="0"/>
        <v>0</v>
      </c>
      <c r="E23" s="10" t="s">
        <v>262</v>
      </c>
      <c r="F23" s="10">
        <v>1235</v>
      </c>
      <c r="G23" s="10"/>
      <c r="H23" s="10">
        <f t="shared" si="1"/>
        <v>0</v>
      </c>
    </row>
    <row r="24" spans="1:8" x14ac:dyDescent="0.55000000000000004">
      <c r="A24" s="10" t="s">
        <v>263</v>
      </c>
      <c r="B24" s="13">
        <v>1.1499999999999999</v>
      </c>
      <c r="C24" s="13"/>
      <c r="D24" s="13">
        <f t="shared" si="0"/>
        <v>0</v>
      </c>
      <c r="E24" s="10" t="s">
        <v>264</v>
      </c>
      <c r="F24" s="10">
        <v>200</v>
      </c>
      <c r="G24" s="10"/>
      <c r="H24" s="10">
        <f t="shared" si="1"/>
        <v>0</v>
      </c>
    </row>
    <row r="25" spans="1:8" x14ac:dyDescent="0.55000000000000004">
      <c r="A25" s="10" t="s">
        <v>265</v>
      </c>
      <c r="B25" s="13">
        <v>1.02</v>
      </c>
      <c r="C25" s="13"/>
      <c r="D25" s="13">
        <f t="shared" si="0"/>
        <v>0</v>
      </c>
      <c r="E25" s="10" t="s">
        <v>266</v>
      </c>
      <c r="F25" s="10">
        <v>1650</v>
      </c>
      <c r="G25" s="10"/>
      <c r="H25" s="10">
        <f t="shared" si="1"/>
        <v>0</v>
      </c>
    </row>
    <row r="26" spans="1:8" x14ac:dyDescent="0.55000000000000004">
      <c r="A26" s="10" t="s">
        <v>267</v>
      </c>
      <c r="B26" s="13">
        <v>0.59</v>
      </c>
      <c r="C26" s="13">
        <v>1000</v>
      </c>
      <c r="D26" s="13">
        <f t="shared" si="0"/>
        <v>590</v>
      </c>
      <c r="E26" s="10" t="s">
        <v>268</v>
      </c>
      <c r="F26" s="10">
        <v>1342</v>
      </c>
      <c r="G26" s="10"/>
      <c r="H26" s="10">
        <f t="shared" si="1"/>
        <v>0</v>
      </c>
    </row>
    <row r="27" spans="1:8" x14ac:dyDescent="0.55000000000000004">
      <c r="A27" s="10" t="s">
        <v>269</v>
      </c>
      <c r="B27" s="13">
        <v>220</v>
      </c>
      <c r="C27" s="13">
        <v>3</v>
      </c>
      <c r="D27" s="13">
        <f t="shared" si="0"/>
        <v>660</v>
      </c>
      <c r="E27" s="10" t="s">
        <v>270</v>
      </c>
      <c r="F27" s="10">
        <v>1630</v>
      </c>
      <c r="G27" s="10"/>
      <c r="H27" s="10">
        <f t="shared" si="1"/>
        <v>0</v>
      </c>
    </row>
    <row r="28" spans="1:8" x14ac:dyDescent="0.55000000000000004">
      <c r="A28" s="10" t="s">
        <v>271</v>
      </c>
      <c r="B28" s="13">
        <v>63.38</v>
      </c>
      <c r="C28" s="13">
        <v>14</v>
      </c>
      <c r="D28" s="13">
        <f t="shared" si="0"/>
        <v>887.32</v>
      </c>
      <c r="E28" s="10" t="s">
        <v>272</v>
      </c>
      <c r="F28" s="10">
        <v>1890</v>
      </c>
      <c r="G28" s="10"/>
      <c r="H28" s="10">
        <f t="shared" si="1"/>
        <v>0</v>
      </c>
    </row>
    <row r="29" spans="1:8" x14ac:dyDescent="0.55000000000000004">
      <c r="A29" s="10" t="s">
        <v>273</v>
      </c>
      <c r="B29" s="13">
        <v>1008</v>
      </c>
      <c r="C29" s="13">
        <v>4.5</v>
      </c>
      <c r="D29" s="13">
        <f t="shared" si="0"/>
        <v>4536</v>
      </c>
      <c r="E29" s="10" t="s">
        <v>274</v>
      </c>
      <c r="F29" s="10">
        <v>2197</v>
      </c>
      <c r="G29" s="10"/>
      <c r="H29" s="10">
        <f t="shared" si="1"/>
        <v>0</v>
      </c>
    </row>
    <row r="30" spans="1:8" x14ac:dyDescent="0.55000000000000004">
      <c r="A30" s="10" t="s">
        <v>275</v>
      </c>
      <c r="B30" s="13">
        <v>137.19999999999999</v>
      </c>
      <c r="C30" s="13">
        <v>4</v>
      </c>
      <c r="D30" s="13">
        <f t="shared" si="0"/>
        <v>548.79999999999995</v>
      </c>
      <c r="E30" s="10" t="s">
        <v>276</v>
      </c>
      <c r="F30" s="10">
        <v>2815</v>
      </c>
      <c r="G30" s="10"/>
      <c r="H30" s="10">
        <f t="shared" si="1"/>
        <v>0</v>
      </c>
    </row>
    <row r="31" spans="1:8" x14ac:dyDescent="0.55000000000000004">
      <c r="A31" s="10" t="s">
        <v>277</v>
      </c>
      <c r="B31" s="13">
        <v>76</v>
      </c>
      <c r="C31" s="13">
        <v>0.5</v>
      </c>
      <c r="D31" s="13">
        <f t="shared" si="0"/>
        <v>38</v>
      </c>
      <c r="E31" s="10" t="s">
        <v>278</v>
      </c>
      <c r="F31" s="10">
        <v>2706</v>
      </c>
      <c r="G31" s="10"/>
      <c r="H31" s="10">
        <f t="shared" si="1"/>
        <v>0</v>
      </c>
    </row>
    <row r="32" spans="1:8" x14ac:dyDescent="0.55000000000000004">
      <c r="A32" s="10" t="s">
        <v>279</v>
      </c>
      <c r="B32" s="13">
        <v>20.72</v>
      </c>
      <c r="C32" s="13">
        <v>82</v>
      </c>
      <c r="D32" s="13">
        <f t="shared" si="0"/>
        <v>1699.04</v>
      </c>
      <c r="E32" s="10" t="s">
        <v>280</v>
      </c>
      <c r="F32" s="10">
        <v>3570</v>
      </c>
      <c r="G32" s="10"/>
      <c r="H32" s="10">
        <f t="shared" si="1"/>
        <v>0</v>
      </c>
    </row>
    <row r="33" spans="1:8" x14ac:dyDescent="0.55000000000000004">
      <c r="A33" s="10" t="s">
        <v>281</v>
      </c>
      <c r="B33" s="13"/>
      <c r="C33" s="13">
        <v>0.5</v>
      </c>
      <c r="D33" s="13">
        <f t="shared" si="0"/>
        <v>0</v>
      </c>
      <c r="E33" s="10" t="s">
        <v>282</v>
      </c>
      <c r="F33" s="10">
        <v>128</v>
      </c>
      <c r="G33" s="10">
        <v>4</v>
      </c>
      <c r="H33" s="10">
        <f t="shared" si="1"/>
        <v>512</v>
      </c>
    </row>
    <row r="34" spans="1:8" x14ac:dyDescent="0.55000000000000004">
      <c r="A34" s="10"/>
      <c r="B34" s="13"/>
      <c r="C34" s="13"/>
      <c r="D34" s="13">
        <f t="shared" si="0"/>
        <v>0</v>
      </c>
      <c r="E34" s="10" t="s">
        <v>283</v>
      </c>
      <c r="F34" s="10"/>
      <c r="G34" s="10"/>
      <c r="H34" s="10">
        <v>4521</v>
      </c>
    </row>
    <row r="35" spans="1:8" x14ac:dyDescent="0.55000000000000004">
      <c r="A35" s="10"/>
      <c r="B35" s="13"/>
      <c r="C35" s="13"/>
      <c r="D35" s="13">
        <f t="shared" si="0"/>
        <v>0</v>
      </c>
      <c r="E35" s="10" t="s">
        <v>284</v>
      </c>
      <c r="F35" s="10"/>
      <c r="G35" s="10"/>
      <c r="H35" s="10">
        <v>42638.400000000001</v>
      </c>
    </row>
    <row r="36" spans="1:8" x14ac:dyDescent="0.55000000000000004">
      <c r="A36" s="10"/>
      <c r="B36" s="13"/>
      <c r="C36" s="13"/>
      <c r="D36" s="13">
        <f t="shared" si="0"/>
        <v>0</v>
      </c>
      <c r="E36" s="10"/>
      <c r="F36" s="10"/>
      <c r="G36" s="10"/>
      <c r="H36" s="10">
        <f t="shared" si="1"/>
        <v>0</v>
      </c>
    </row>
    <row r="37" spans="1:8" x14ac:dyDescent="0.55000000000000004">
      <c r="A37" s="10"/>
      <c r="B37" s="13"/>
      <c r="C37" s="13"/>
      <c r="D37" s="13">
        <f t="shared" si="0"/>
        <v>0</v>
      </c>
      <c r="E37" s="10"/>
      <c r="F37" s="10"/>
      <c r="G37" s="10"/>
      <c r="H37" s="10">
        <f t="shared" si="1"/>
        <v>0</v>
      </c>
    </row>
    <row r="38" spans="1:8" hidden="1" x14ac:dyDescent="0.55000000000000004">
      <c r="A38" s="2"/>
      <c r="B38" s="10"/>
      <c r="C38" s="10"/>
      <c r="D38" s="10"/>
      <c r="E38" s="2"/>
      <c r="F38" s="2"/>
      <c r="G38" s="14"/>
      <c r="H38">
        <f t="shared" si="1"/>
        <v>0</v>
      </c>
    </row>
    <row r="40" spans="1:8" x14ac:dyDescent="0.55000000000000004">
      <c r="D40" s="11">
        <f>SUM(D2:D39)</f>
        <v>26753.859999999997</v>
      </c>
      <c r="H40" s="36">
        <f>SUM(H2:H39)</f>
        <v>81193.899999999994</v>
      </c>
    </row>
    <row r="41" spans="1:8" x14ac:dyDescent="0.55000000000000004">
      <c r="H41" s="36">
        <f>SUM(H40*1.1)</f>
        <v>89313.29</v>
      </c>
    </row>
    <row r="42" spans="1:8" x14ac:dyDescent="0.55000000000000004">
      <c r="E42" s="37" t="s">
        <v>285</v>
      </c>
      <c r="F42" s="37">
        <f>SUM(D40,H41)</f>
        <v>116067.15</v>
      </c>
    </row>
    <row r="43" spans="1:8" x14ac:dyDescent="0.55000000000000004">
      <c r="E43" s="37" t="s">
        <v>286</v>
      </c>
      <c r="F43" s="40">
        <v>144140.1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166D3-A6DF-4208-8505-8283E8E6DF2F}">
  <dimension ref="A1:K44"/>
  <sheetViews>
    <sheetView workbookViewId="0">
      <selection activeCell="F11" sqref="F11"/>
    </sheetView>
  </sheetViews>
  <sheetFormatPr defaultColWidth="8.83203125" defaultRowHeight="18" x14ac:dyDescent="0.55000000000000004"/>
  <cols>
    <col min="1" max="1" width="23.33203125" customWidth="1"/>
    <col min="2" max="2" width="10.1640625" customWidth="1"/>
    <col min="3" max="3" width="9.5" customWidth="1"/>
    <col min="4" max="4" width="12.6640625" customWidth="1"/>
    <col min="5" max="5" width="25.83203125" customWidth="1"/>
    <col min="6" max="6" width="11.6640625" customWidth="1"/>
    <col min="7" max="7" width="9.1640625" customWidth="1"/>
    <col min="8" max="8" width="12.83203125" customWidth="1"/>
  </cols>
  <sheetData>
    <row r="1" spans="1:11" ht="25.5" x14ac:dyDescent="0.55000000000000004">
      <c r="A1" s="65" t="s">
        <v>2</v>
      </c>
      <c r="B1" s="65"/>
      <c r="C1" s="65"/>
      <c r="D1" s="65"/>
      <c r="E1" s="65"/>
      <c r="F1" s="65"/>
      <c r="G1" s="66"/>
      <c r="H1" s="1"/>
      <c r="I1" s="1"/>
      <c r="J1" s="1"/>
    </row>
    <row r="2" spans="1:11" x14ac:dyDescent="0.55000000000000004">
      <c r="A2" s="3" t="s">
        <v>0</v>
      </c>
      <c r="B2" s="4" t="s">
        <v>3</v>
      </c>
      <c r="C2" s="4" t="s">
        <v>1</v>
      </c>
      <c r="D2" s="4" t="s">
        <v>4</v>
      </c>
      <c r="E2" s="3" t="s">
        <v>0</v>
      </c>
      <c r="F2" s="3" t="s">
        <v>3</v>
      </c>
      <c r="G2" s="3" t="s">
        <v>1</v>
      </c>
      <c r="H2" s="3" t="s">
        <v>4</v>
      </c>
    </row>
    <row r="3" spans="1:11" x14ac:dyDescent="0.55000000000000004">
      <c r="A3" s="10" t="s">
        <v>287</v>
      </c>
      <c r="B3" s="13">
        <v>383</v>
      </c>
      <c r="C3" s="20"/>
      <c r="D3" s="20">
        <f>SUM(C3*B3)</f>
        <v>0</v>
      </c>
      <c r="E3" s="21" t="s">
        <v>6</v>
      </c>
      <c r="F3" s="21">
        <v>1.44</v>
      </c>
      <c r="G3" s="18"/>
      <c r="H3" s="10">
        <f>SUM(G3*F3)</f>
        <v>0</v>
      </c>
    </row>
    <row r="4" spans="1:11" x14ac:dyDescent="0.35">
      <c r="A4" s="10" t="s">
        <v>288</v>
      </c>
      <c r="B4" s="13">
        <v>0.42</v>
      </c>
      <c r="C4" s="20"/>
      <c r="D4" s="20">
        <f t="shared" ref="D4:D38" si="0">SUM(C4*B4)</f>
        <v>0</v>
      </c>
      <c r="E4" s="21" t="s">
        <v>289</v>
      </c>
      <c r="F4" s="21">
        <v>1.28</v>
      </c>
      <c r="G4" s="22"/>
      <c r="H4" s="10">
        <f t="shared" ref="H4:H38" si="1">SUM(G4*F4)</f>
        <v>0</v>
      </c>
    </row>
    <row r="5" spans="1:11" x14ac:dyDescent="0.35">
      <c r="A5" s="10" t="s">
        <v>290</v>
      </c>
      <c r="B5" s="13">
        <v>46</v>
      </c>
      <c r="C5" s="20"/>
      <c r="D5" s="20">
        <f t="shared" si="0"/>
        <v>0</v>
      </c>
      <c r="E5" s="21" t="s">
        <v>10</v>
      </c>
      <c r="F5" s="21">
        <v>4.0999999999999996</v>
      </c>
      <c r="G5" s="22"/>
      <c r="H5" s="10">
        <f t="shared" si="1"/>
        <v>0</v>
      </c>
    </row>
    <row r="6" spans="1:11" x14ac:dyDescent="0.35">
      <c r="A6" s="10" t="s">
        <v>291</v>
      </c>
      <c r="B6" s="13">
        <v>2.4500000000000002</v>
      </c>
      <c r="C6" s="20"/>
      <c r="D6" s="20">
        <f t="shared" si="0"/>
        <v>0</v>
      </c>
      <c r="E6" s="21" t="s">
        <v>12</v>
      </c>
      <c r="F6" s="21">
        <v>1.3</v>
      </c>
      <c r="G6" s="22"/>
      <c r="H6" s="10">
        <f t="shared" si="1"/>
        <v>0</v>
      </c>
    </row>
    <row r="7" spans="1:11" x14ac:dyDescent="0.35">
      <c r="A7" s="10" t="s">
        <v>292</v>
      </c>
      <c r="B7" s="13">
        <v>4.3</v>
      </c>
      <c r="C7" s="20"/>
      <c r="D7" s="20">
        <f t="shared" si="0"/>
        <v>0</v>
      </c>
      <c r="E7" s="21" t="s">
        <v>14</v>
      </c>
      <c r="F7" s="21">
        <v>6.26</v>
      </c>
      <c r="G7" s="22"/>
      <c r="H7" s="10">
        <f t="shared" si="1"/>
        <v>0</v>
      </c>
    </row>
    <row r="8" spans="1:11" x14ac:dyDescent="0.35">
      <c r="A8" s="10" t="s">
        <v>293</v>
      </c>
      <c r="B8" s="13">
        <v>0.22</v>
      </c>
      <c r="C8" s="20"/>
      <c r="D8" s="20">
        <f t="shared" si="0"/>
        <v>0</v>
      </c>
      <c r="E8" s="21" t="s">
        <v>16</v>
      </c>
      <c r="F8" s="21">
        <v>2.2000000000000002</v>
      </c>
      <c r="G8" s="22"/>
      <c r="H8" s="10">
        <f t="shared" si="1"/>
        <v>0</v>
      </c>
    </row>
    <row r="9" spans="1:11" x14ac:dyDescent="0.35">
      <c r="A9" s="10" t="s">
        <v>17</v>
      </c>
      <c r="B9" s="13">
        <v>361</v>
      </c>
      <c r="C9" s="20">
        <v>5</v>
      </c>
      <c r="D9" s="20">
        <f t="shared" si="0"/>
        <v>1805</v>
      </c>
      <c r="E9" s="21" t="s">
        <v>18</v>
      </c>
      <c r="F9" s="21">
        <v>1.38</v>
      </c>
      <c r="G9" s="22"/>
      <c r="H9" s="10">
        <f t="shared" si="1"/>
        <v>0</v>
      </c>
    </row>
    <row r="10" spans="1:11" x14ac:dyDescent="0.35">
      <c r="A10" s="10" t="s">
        <v>19</v>
      </c>
      <c r="B10" s="13">
        <v>138</v>
      </c>
      <c r="C10" s="20">
        <v>1.5</v>
      </c>
      <c r="D10" s="20">
        <f t="shared" si="0"/>
        <v>207</v>
      </c>
      <c r="E10" s="21" t="s">
        <v>20</v>
      </c>
      <c r="F10" s="21">
        <v>0.9</v>
      </c>
      <c r="G10" s="22"/>
      <c r="H10" s="10">
        <f t="shared" si="1"/>
        <v>0</v>
      </c>
    </row>
    <row r="11" spans="1:11" x14ac:dyDescent="0.35">
      <c r="A11" s="10" t="s">
        <v>21</v>
      </c>
      <c r="B11" s="13">
        <v>256</v>
      </c>
      <c r="C11" s="20">
        <v>1</v>
      </c>
      <c r="D11" s="20">
        <f t="shared" si="0"/>
        <v>256</v>
      </c>
      <c r="E11" s="21" t="s">
        <v>22</v>
      </c>
      <c r="F11" s="21">
        <v>0.81</v>
      </c>
      <c r="G11" s="22"/>
      <c r="H11" s="10">
        <f t="shared" si="1"/>
        <v>0</v>
      </c>
    </row>
    <row r="12" spans="1:11" x14ac:dyDescent="0.35">
      <c r="A12" s="10" t="s">
        <v>23</v>
      </c>
      <c r="B12" s="13">
        <v>1.21</v>
      </c>
      <c r="C12" s="20"/>
      <c r="D12" s="20">
        <f t="shared" si="0"/>
        <v>0</v>
      </c>
      <c r="E12" s="21" t="s">
        <v>24</v>
      </c>
      <c r="F12" s="21">
        <v>3.57</v>
      </c>
      <c r="G12" s="22"/>
      <c r="H12" s="10">
        <f t="shared" si="1"/>
        <v>0</v>
      </c>
      <c r="K12" s="6"/>
    </row>
    <row r="13" spans="1:11" x14ac:dyDescent="0.35">
      <c r="A13" s="10" t="s">
        <v>25</v>
      </c>
      <c r="B13" s="13">
        <v>148</v>
      </c>
      <c r="C13" s="20">
        <v>2</v>
      </c>
      <c r="D13" s="20">
        <f t="shared" si="0"/>
        <v>296</v>
      </c>
      <c r="E13" s="21" t="s">
        <v>26</v>
      </c>
      <c r="F13" s="21">
        <v>1.52</v>
      </c>
      <c r="G13" s="22"/>
      <c r="H13" s="10">
        <f t="shared" si="1"/>
        <v>0</v>
      </c>
    </row>
    <row r="14" spans="1:11" x14ac:dyDescent="0.35">
      <c r="A14" s="10" t="s">
        <v>27</v>
      </c>
      <c r="B14" s="13">
        <v>1.1000000000000001</v>
      </c>
      <c r="C14" s="20">
        <v>200</v>
      </c>
      <c r="D14" s="20">
        <f t="shared" si="0"/>
        <v>220.00000000000003</v>
      </c>
      <c r="E14" s="21" t="s">
        <v>28</v>
      </c>
      <c r="F14" s="21">
        <v>0.92</v>
      </c>
      <c r="G14" s="22"/>
      <c r="H14" s="10">
        <f t="shared" si="1"/>
        <v>0</v>
      </c>
    </row>
    <row r="15" spans="1:11" x14ac:dyDescent="0.35">
      <c r="A15" s="10" t="s">
        <v>29</v>
      </c>
      <c r="B15" s="13">
        <v>148</v>
      </c>
      <c r="C15" s="20">
        <v>2</v>
      </c>
      <c r="D15" s="20">
        <f t="shared" si="0"/>
        <v>296</v>
      </c>
      <c r="E15" s="21" t="s">
        <v>30</v>
      </c>
      <c r="F15" s="21">
        <v>2</v>
      </c>
      <c r="G15" s="22">
        <v>22.5</v>
      </c>
      <c r="H15" s="10">
        <f t="shared" si="1"/>
        <v>45</v>
      </c>
    </row>
    <row r="16" spans="1:11" x14ac:dyDescent="0.35">
      <c r="A16" s="10" t="s">
        <v>31</v>
      </c>
      <c r="B16" s="13">
        <v>0.14000000000000001</v>
      </c>
      <c r="C16" s="20"/>
      <c r="D16" s="20">
        <f t="shared" si="0"/>
        <v>0</v>
      </c>
      <c r="E16" s="21" t="s">
        <v>32</v>
      </c>
      <c r="F16" s="21">
        <v>1.92</v>
      </c>
      <c r="G16" s="22"/>
      <c r="H16" s="10">
        <f t="shared" si="1"/>
        <v>0</v>
      </c>
    </row>
    <row r="17" spans="1:8" x14ac:dyDescent="0.35">
      <c r="A17" s="10" t="s">
        <v>33</v>
      </c>
      <c r="B17" s="13">
        <v>0.36</v>
      </c>
      <c r="C17" s="20"/>
      <c r="D17" s="20">
        <f t="shared" si="0"/>
        <v>0</v>
      </c>
      <c r="E17" s="21" t="s">
        <v>34</v>
      </c>
      <c r="F17" s="21">
        <v>7.99</v>
      </c>
      <c r="G17" s="22"/>
      <c r="H17" s="10">
        <f t="shared" si="1"/>
        <v>0</v>
      </c>
    </row>
    <row r="18" spans="1:8" x14ac:dyDescent="0.35">
      <c r="A18" s="10" t="s">
        <v>294</v>
      </c>
      <c r="B18" s="13">
        <v>86</v>
      </c>
      <c r="C18" s="20"/>
      <c r="D18" s="20">
        <f t="shared" si="0"/>
        <v>0</v>
      </c>
      <c r="E18" s="21" t="s">
        <v>36</v>
      </c>
      <c r="F18" s="21">
        <v>60.2</v>
      </c>
      <c r="G18" s="22"/>
      <c r="H18" s="10">
        <f t="shared" si="1"/>
        <v>0</v>
      </c>
    </row>
    <row r="19" spans="1:8" x14ac:dyDescent="0.35">
      <c r="A19" s="10" t="s">
        <v>37</v>
      </c>
      <c r="B19" s="13">
        <v>0.72</v>
      </c>
      <c r="C19" s="20"/>
      <c r="D19" s="20">
        <f t="shared" si="0"/>
        <v>0</v>
      </c>
      <c r="E19" s="21" t="s">
        <v>38</v>
      </c>
      <c r="F19" s="21">
        <v>7.46</v>
      </c>
      <c r="G19" s="22"/>
      <c r="H19" s="10">
        <f t="shared" si="1"/>
        <v>0</v>
      </c>
    </row>
    <row r="20" spans="1:8" x14ac:dyDescent="0.35">
      <c r="A20" s="10" t="s">
        <v>39</v>
      </c>
      <c r="B20" s="13">
        <v>0.09</v>
      </c>
      <c r="C20" s="20"/>
      <c r="D20" s="20">
        <f t="shared" si="0"/>
        <v>0</v>
      </c>
      <c r="E20" s="21" t="s">
        <v>40</v>
      </c>
      <c r="F20" s="21">
        <v>34.659999999999997</v>
      </c>
      <c r="G20" s="22"/>
      <c r="H20" s="10">
        <f t="shared" si="1"/>
        <v>0</v>
      </c>
    </row>
    <row r="21" spans="1:8" x14ac:dyDescent="0.35">
      <c r="A21" s="10" t="s">
        <v>41</v>
      </c>
      <c r="B21" s="13">
        <v>0.09</v>
      </c>
      <c r="C21" s="20"/>
      <c r="D21" s="20">
        <f t="shared" si="0"/>
        <v>0</v>
      </c>
      <c r="E21" s="21" t="s">
        <v>10</v>
      </c>
      <c r="F21" s="21">
        <v>3.56</v>
      </c>
      <c r="G21" s="22"/>
      <c r="H21" s="10">
        <f t="shared" si="1"/>
        <v>0</v>
      </c>
    </row>
    <row r="22" spans="1:8" x14ac:dyDescent="0.35">
      <c r="A22" s="10" t="s">
        <v>295</v>
      </c>
      <c r="B22" s="13">
        <v>258</v>
      </c>
      <c r="C22" s="20">
        <v>0.75</v>
      </c>
      <c r="D22" s="20">
        <f t="shared" si="0"/>
        <v>193.5</v>
      </c>
      <c r="E22" s="21" t="s">
        <v>43</v>
      </c>
      <c r="F22" s="21">
        <v>3.24</v>
      </c>
      <c r="G22" s="22"/>
      <c r="H22" s="10">
        <f t="shared" si="1"/>
        <v>0</v>
      </c>
    </row>
    <row r="23" spans="1:8" x14ac:dyDescent="0.35">
      <c r="A23" s="10" t="s">
        <v>44</v>
      </c>
      <c r="B23" s="13">
        <v>0.56000000000000005</v>
      </c>
      <c r="C23" s="20"/>
      <c r="D23" s="20">
        <f t="shared" si="0"/>
        <v>0</v>
      </c>
      <c r="E23" s="21" t="s">
        <v>45</v>
      </c>
      <c r="F23" s="21">
        <v>65.78</v>
      </c>
      <c r="G23" s="22"/>
      <c r="H23" s="10">
        <f t="shared" si="1"/>
        <v>0</v>
      </c>
    </row>
    <row r="24" spans="1:8" x14ac:dyDescent="0.35">
      <c r="A24" s="10" t="s">
        <v>46</v>
      </c>
      <c r="B24" s="13">
        <v>0.56000000000000005</v>
      </c>
      <c r="C24" s="20"/>
      <c r="D24" s="20">
        <f t="shared" si="0"/>
        <v>0</v>
      </c>
      <c r="E24" s="21" t="s">
        <v>47</v>
      </c>
      <c r="F24" s="21">
        <v>52.65</v>
      </c>
      <c r="G24" s="22"/>
      <c r="H24" s="10">
        <f t="shared" si="1"/>
        <v>0</v>
      </c>
    </row>
    <row r="25" spans="1:8" x14ac:dyDescent="0.35">
      <c r="A25" s="10" t="s">
        <v>48</v>
      </c>
      <c r="B25" s="13">
        <v>0.5</v>
      </c>
      <c r="C25" s="20"/>
      <c r="D25" s="20">
        <f t="shared" si="0"/>
        <v>0</v>
      </c>
      <c r="E25" s="21" t="s">
        <v>49</v>
      </c>
      <c r="F25" s="21">
        <v>77.55</v>
      </c>
      <c r="G25" s="22"/>
      <c r="H25" s="10">
        <f t="shared" si="1"/>
        <v>0</v>
      </c>
    </row>
    <row r="26" spans="1:8" x14ac:dyDescent="0.55000000000000004">
      <c r="A26" s="10" t="s">
        <v>50</v>
      </c>
      <c r="B26" s="13">
        <v>44.67</v>
      </c>
      <c r="C26" s="20"/>
      <c r="D26" s="20">
        <f t="shared" si="0"/>
        <v>0</v>
      </c>
      <c r="E26" s="21" t="s">
        <v>51</v>
      </c>
      <c r="F26" s="21">
        <v>58.54</v>
      </c>
      <c r="G26" s="18"/>
      <c r="H26" s="10">
        <f t="shared" si="1"/>
        <v>0</v>
      </c>
    </row>
    <row r="27" spans="1:8" x14ac:dyDescent="0.55000000000000004">
      <c r="A27" s="10" t="s">
        <v>296</v>
      </c>
      <c r="B27" s="13">
        <v>158</v>
      </c>
      <c r="C27" s="20"/>
      <c r="D27" s="20">
        <f t="shared" si="0"/>
        <v>0</v>
      </c>
      <c r="E27" s="21" t="s">
        <v>53</v>
      </c>
      <c r="F27" s="21">
        <v>2.89</v>
      </c>
      <c r="G27" s="18"/>
      <c r="H27" s="10">
        <f t="shared" si="1"/>
        <v>0</v>
      </c>
    </row>
    <row r="28" spans="1:8" x14ac:dyDescent="0.55000000000000004">
      <c r="A28" s="30" t="s">
        <v>54</v>
      </c>
      <c r="B28" s="13">
        <v>0.39</v>
      </c>
      <c r="C28" s="20">
        <v>1.5</v>
      </c>
      <c r="D28" s="20">
        <f t="shared" si="0"/>
        <v>0.58499999999999996</v>
      </c>
      <c r="E28" s="21" t="s">
        <v>55</v>
      </c>
      <c r="F28" s="21">
        <v>2.0299999999999998</v>
      </c>
      <c r="G28" s="18"/>
      <c r="H28" s="10">
        <f t="shared" si="1"/>
        <v>0</v>
      </c>
    </row>
    <row r="29" spans="1:8" x14ac:dyDescent="0.55000000000000004">
      <c r="A29" s="10" t="s">
        <v>56</v>
      </c>
      <c r="B29" s="13">
        <v>138</v>
      </c>
      <c r="C29" s="20"/>
      <c r="D29" s="20">
        <f t="shared" si="0"/>
        <v>0</v>
      </c>
      <c r="E29" s="21" t="s">
        <v>57</v>
      </c>
      <c r="F29" s="21">
        <v>2</v>
      </c>
      <c r="G29" s="18"/>
      <c r="H29" s="10">
        <f t="shared" si="1"/>
        <v>0</v>
      </c>
    </row>
    <row r="30" spans="1:8" x14ac:dyDescent="0.55000000000000004">
      <c r="A30" s="30" t="s">
        <v>297</v>
      </c>
      <c r="B30" s="13"/>
      <c r="C30" s="20">
        <v>3</v>
      </c>
      <c r="D30" s="20">
        <f t="shared" si="0"/>
        <v>0</v>
      </c>
      <c r="E30" s="21" t="s">
        <v>59</v>
      </c>
      <c r="F30" s="21">
        <v>1.83</v>
      </c>
      <c r="G30" s="18"/>
      <c r="H30" s="10">
        <f t="shared" si="1"/>
        <v>0</v>
      </c>
    </row>
    <row r="31" spans="1:8" x14ac:dyDescent="0.55000000000000004">
      <c r="A31" s="10" t="s">
        <v>60</v>
      </c>
      <c r="B31" s="13">
        <v>2.67</v>
      </c>
      <c r="C31" s="20"/>
      <c r="D31" s="20">
        <f t="shared" si="0"/>
        <v>0</v>
      </c>
      <c r="E31" s="21" t="s">
        <v>61</v>
      </c>
      <c r="F31" s="21">
        <v>2.5099999999999998</v>
      </c>
      <c r="G31" s="18"/>
      <c r="H31" s="10">
        <f t="shared" si="1"/>
        <v>0</v>
      </c>
    </row>
    <row r="32" spans="1:8" x14ac:dyDescent="0.55000000000000004">
      <c r="A32" s="10" t="s">
        <v>62</v>
      </c>
      <c r="B32" s="13">
        <v>1.39</v>
      </c>
      <c r="C32" s="20"/>
      <c r="D32" s="20">
        <f t="shared" si="0"/>
        <v>0</v>
      </c>
      <c r="E32" s="21" t="s">
        <v>63</v>
      </c>
      <c r="F32" s="21">
        <v>92.78</v>
      </c>
      <c r="G32" s="18"/>
      <c r="H32" s="10">
        <f t="shared" si="1"/>
        <v>0</v>
      </c>
    </row>
    <row r="33" spans="1:8" x14ac:dyDescent="0.55000000000000004">
      <c r="A33" s="10" t="s">
        <v>64</v>
      </c>
      <c r="B33" s="13">
        <v>0.52</v>
      </c>
      <c r="C33" s="20"/>
      <c r="D33" s="20">
        <f t="shared" si="0"/>
        <v>0</v>
      </c>
      <c r="E33" s="32" t="s">
        <v>65</v>
      </c>
      <c r="F33" s="21">
        <v>1950</v>
      </c>
      <c r="G33" s="18"/>
      <c r="H33" s="10">
        <f t="shared" si="1"/>
        <v>0</v>
      </c>
    </row>
    <row r="34" spans="1:8" x14ac:dyDescent="0.55000000000000004">
      <c r="A34" s="21" t="s">
        <v>66</v>
      </c>
      <c r="B34" s="24">
        <v>2.25</v>
      </c>
      <c r="C34" s="20"/>
      <c r="D34" s="20">
        <f t="shared" si="0"/>
        <v>0</v>
      </c>
      <c r="E34" s="21" t="s">
        <v>298</v>
      </c>
      <c r="F34" s="21">
        <v>2250</v>
      </c>
      <c r="G34" s="18"/>
      <c r="H34" s="10">
        <f t="shared" si="1"/>
        <v>0</v>
      </c>
    </row>
    <row r="35" spans="1:8" x14ac:dyDescent="0.55000000000000004">
      <c r="A35" s="21" t="s">
        <v>299</v>
      </c>
      <c r="B35" s="24">
        <v>2.38</v>
      </c>
      <c r="C35" s="20"/>
      <c r="D35" s="20">
        <f t="shared" si="0"/>
        <v>0</v>
      </c>
      <c r="E35" s="21" t="s">
        <v>300</v>
      </c>
      <c r="F35" s="21">
        <v>1873</v>
      </c>
      <c r="G35" s="18">
        <v>1.5</v>
      </c>
      <c r="H35" s="10">
        <f t="shared" si="1"/>
        <v>2809.5</v>
      </c>
    </row>
    <row r="36" spans="1:8" x14ac:dyDescent="0.55000000000000004">
      <c r="A36" s="21" t="s">
        <v>70</v>
      </c>
      <c r="B36" s="24">
        <v>1.04</v>
      </c>
      <c r="C36" s="20"/>
      <c r="D36" s="20">
        <f t="shared" si="0"/>
        <v>0</v>
      </c>
      <c r="E36" s="21" t="s">
        <v>301</v>
      </c>
      <c r="F36" s="21">
        <v>2082</v>
      </c>
      <c r="G36" s="18"/>
      <c r="H36" s="10">
        <f t="shared" si="1"/>
        <v>0</v>
      </c>
    </row>
    <row r="37" spans="1:8" x14ac:dyDescent="0.55000000000000004">
      <c r="A37" s="32" t="s">
        <v>302</v>
      </c>
      <c r="B37" s="24">
        <v>2700</v>
      </c>
      <c r="C37" s="20"/>
      <c r="D37" s="20">
        <f t="shared" si="0"/>
        <v>0</v>
      </c>
      <c r="E37" s="21" t="s">
        <v>303</v>
      </c>
      <c r="F37" s="21">
        <v>770</v>
      </c>
      <c r="G37" s="18">
        <v>1.5</v>
      </c>
      <c r="H37" s="10">
        <f t="shared" si="1"/>
        <v>1155</v>
      </c>
    </row>
    <row r="38" spans="1:8" ht="19.5" customHeight="1" x14ac:dyDescent="0.55000000000000004">
      <c r="A38" s="21" t="s">
        <v>304</v>
      </c>
      <c r="B38" s="24">
        <v>3.68</v>
      </c>
      <c r="C38" s="25"/>
      <c r="D38" s="20">
        <f t="shared" si="0"/>
        <v>0</v>
      </c>
      <c r="E38" s="33" t="s">
        <v>75</v>
      </c>
      <c r="F38" s="21">
        <v>1.0900000000000001</v>
      </c>
      <c r="G38" s="26"/>
      <c r="H38" s="10">
        <f t="shared" si="1"/>
        <v>0</v>
      </c>
    </row>
    <row r="39" spans="1:8" ht="14.5" customHeight="1" x14ac:dyDescent="0.55000000000000004">
      <c r="A39" s="7"/>
      <c r="B39" s="7"/>
      <c r="C39" s="8"/>
      <c r="D39" s="8"/>
      <c r="E39" s="7"/>
      <c r="F39" s="7"/>
      <c r="G39" s="8"/>
    </row>
    <row r="40" spans="1:8" x14ac:dyDescent="0.55000000000000004">
      <c r="C40" s="6"/>
      <c r="D40" s="6"/>
      <c r="G40" s="6"/>
    </row>
    <row r="41" spans="1:8" x14ac:dyDescent="0.55000000000000004">
      <c r="D41" s="11">
        <f>SUM(D3:D38)</f>
        <v>3274.085</v>
      </c>
      <c r="G41" s="6"/>
      <c r="H41" s="11">
        <f>SUM(H3:H38)</f>
        <v>4009.5</v>
      </c>
    </row>
    <row r="42" spans="1:8" x14ac:dyDescent="0.55000000000000004">
      <c r="D42" s="10" t="s">
        <v>305</v>
      </c>
      <c r="E42" s="10">
        <f>SUM(D41,H41)</f>
        <v>7283.585</v>
      </c>
      <c r="G42" s="6"/>
    </row>
    <row r="43" spans="1:8" x14ac:dyDescent="0.55000000000000004">
      <c r="G43" s="6"/>
    </row>
    <row r="44" spans="1:8" x14ac:dyDescent="0.55000000000000004">
      <c r="G44" s="6"/>
    </row>
  </sheetData>
  <mergeCells count="1">
    <mergeCell ref="A1:G1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342F8-29A8-45CB-9135-7C4C1C744BD7}">
  <dimension ref="A1:H41"/>
  <sheetViews>
    <sheetView topLeftCell="A13" zoomScale="90" zoomScaleNormal="90" workbookViewId="0">
      <selection activeCell="C37" sqref="C37"/>
    </sheetView>
  </sheetViews>
  <sheetFormatPr defaultColWidth="8.83203125" defaultRowHeight="18" x14ac:dyDescent="0.55000000000000004"/>
  <cols>
    <col min="1" max="1" width="27" customWidth="1"/>
    <col min="2" max="2" width="14.1640625" customWidth="1"/>
    <col min="3" max="4" width="14.6640625" customWidth="1"/>
    <col min="5" max="5" width="25" customWidth="1"/>
    <col min="6" max="6" width="15.1640625" customWidth="1"/>
    <col min="8" max="8" width="9.6640625" bestFit="1" customWidth="1"/>
  </cols>
  <sheetData>
    <row r="1" spans="1:8" x14ac:dyDescent="0.55000000000000004">
      <c r="A1" s="3" t="s">
        <v>0</v>
      </c>
      <c r="B1" s="4" t="s">
        <v>3</v>
      </c>
      <c r="C1" s="4" t="s">
        <v>1</v>
      </c>
      <c r="D1" s="4" t="s">
        <v>4</v>
      </c>
      <c r="E1" s="3" t="s">
        <v>0</v>
      </c>
      <c r="F1" s="3" t="s">
        <v>3</v>
      </c>
      <c r="G1" s="3" t="s">
        <v>77</v>
      </c>
      <c r="H1" s="3" t="s">
        <v>4</v>
      </c>
    </row>
    <row r="2" spans="1:8" x14ac:dyDescent="0.55000000000000004">
      <c r="A2" s="21" t="s">
        <v>306</v>
      </c>
      <c r="B2" s="21">
        <v>1727</v>
      </c>
      <c r="C2" s="18"/>
      <c r="D2" s="18">
        <f>SUM(C2*B2)</f>
        <v>0</v>
      </c>
      <c r="E2" s="21" t="s">
        <v>307</v>
      </c>
      <c r="F2" s="18">
        <v>1038</v>
      </c>
      <c r="G2" s="10"/>
      <c r="H2" s="10">
        <f>SUM(G2*F2)</f>
        <v>0</v>
      </c>
    </row>
    <row r="3" spans="1:8" x14ac:dyDescent="0.55000000000000004">
      <c r="A3" s="21" t="s">
        <v>308</v>
      </c>
      <c r="B3" s="21">
        <v>4850</v>
      </c>
      <c r="C3" s="18"/>
      <c r="D3" s="18">
        <f t="shared" ref="D3:D38" si="0">SUM(C3*B3)</f>
        <v>0</v>
      </c>
      <c r="E3" s="21" t="s">
        <v>309</v>
      </c>
      <c r="F3" s="18">
        <v>717</v>
      </c>
      <c r="G3" s="10"/>
      <c r="H3" s="10">
        <f t="shared" ref="H3:H38" si="1">SUM(G3*F3)</f>
        <v>0</v>
      </c>
    </row>
    <row r="4" spans="1:8" x14ac:dyDescent="0.55000000000000004">
      <c r="A4" s="21" t="s">
        <v>82</v>
      </c>
      <c r="B4" s="21">
        <v>345</v>
      </c>
      <c r="C4" s="18"/>
      <c r="D4" s="18">
        <f t="shared" si="0"/>
        <v>0</v>
      </c>
      <c r="E4" s="21" t="s">
        <v>310</v>
      </c>
      <c r="F4" s="18">
        <v>532</v>
      </c>
      <c r="G4" s="10">
        <v>1.5</v>
      </c>
      <c r="H4" s="10">
        <f t="shared" si="1"/>
        <v>798</v>
      </c>
    </row>
    <row r="5" spans="1:8" x14ac:dyDescent="0.55000000000000004">
      <c r="A5" s="21" t="s">
        <v>311</v>
      </c>
      <c r="B5" s="21">
        <v>1982</v>
      </c>
      <c r="C5" s="18"/>
      <c r="D5" s="18">
        <f t="shared" si="0"/>
        <v>0</v>
      </c>
      <c r="E5" s="21" t="s">
        <v>312</v>
      </c>
      <c r="F5" s="18">
        <v>1119</v>
      </c>
      <c r="G5" s="10"/>
      <c r="H5" s="10">
        <f t="shared" si="1"/>
        <v>0</v>
      </c>
    </row>
    <row r="6" spans="1:8" x14ac:dyDescent="0.55000000000000004">
      <c r="A6" s="21" t="s">
        <v>313</v>
      </c>
      <c r="B6" s="21">
        <v>989</v>
      </c>
      <c r="C6" s="18">
        <v>1.5</v>
      </c>
      <c r="D6" s="18">
        <f t="shared" si="0"/>
        <v>1483.5</v>
      </c>
      <c r="E6" s="21" t="s">
        <v>314</v>
      </c>
      <c r="F6" s="18">
        <v>551</v>
      </c>
      <c r="G6" s="10"/>
      <c r="H6" s="10">
        <f t="shared" si="1"/>
        <v>0</v>
      </c>
    </row>
    <row r="7" spans="1:8" x14ac:dyDescent="0.55000000000000004">
      <c r="A7" s="21" t="s">
        <v>315</v>
      </c>
      <c r="B7" s="21">
        <v>3240</v>
      </c>
      <c r="C7" s="18">
        <v>1.75</v>
      </c>
      <c r="D7" s="18">
        <f t="shared" si="0"/>
        <v>5670</v>
      </c>
      <c r="E7" s="21" t="s">
        <v>316</v>
      </c>
      <c r="F7" s="18">
        <v>372</v>
      </c>
      <c r="G7" s="10"/>
      <c r="H7" s="10">
        <f t="shared" si="1"/>
        <v>0</v>
      </c>
    </row>
    <row r="8" spans="1:8" x14ac:dyDescent="0.55000000000000004">
      <c r="A8" s="21" t="s">
        <v>317</v>
      </c>
      <c r="B8" s="21">
        <v>1142</v>
      </c>
      <c r="C8" s="18">
        <v>0.25</v>
      </c>
      <c r="D8" s="18">
        <f t="shared" si="0"/>
        <v>285.5</v>
      </c>
      <c r="E8" s="21" t="s">
        <v>91</v>
      </c>
      <c r="F8" s="18">
        <v>0.61</v>
      </c>
      <c r="G8" s="10"/>
      <c r="H8" s="10">
        <f t="shared" si="1"/>
        <v>0</v>
      </c>
    </row>
    <row r="9" spans="1:8" x14ac:dyDescent="0.55000000000000004">
      <c r="A9" s="21" t="s">
        <v>318</v>
      </c>
      <c r="B9" s="21">
        <v>805</v>
      </c>
      <c r="C9" s="18">
        <v>1</v>
      </c>
      <c r="D9" s="18">
        <f t="shared" si="0"/>
        <v>805</v>
      </c>
      <c r="E9" s="21" t="s">
        <v>319</v>
      </c>
      <c r="F9" s="18">
        <v>2510</v>
      </c>
      <c r="G9" s="10"/>
      <c r="H9" s="10">
        <f t="shared" si="1"/>
        <v>0</v>
      </c>
    </row>
    <row r="10" spans="1:8" x14ac:dyDescent="0.55000000000000004">
      <c r="A10" s="21" t="s">
        <v>94</v>
      </c>
      <c r="B10" s="21">
        <v>918</v>
      </c>
      <c r="C10" s="18"/>
      <c r="D10" s="18">
        <f t="shared" si="0"/>
        <v>0</v>
      </c>
      <c r="E10" s="21" t="s">
        <v>320</v>
      </c>
      <c r="F10" s="18">
        <v>812</v>
      </c>
      <c r="G10" s="10">
        <v>1</v>
      </c>
      <c r="H10" s="10">
        <f t="shared" si="1"/>
        <v>812</v>
      </c>
    </row>
    <row r="11" spans="1:8" x14ac:dyDescent="0.55000000000000004">
      <c r="A11" s="21" t="s">
        <v>96</v>
      </c>
      <c r="B11" s="21">
        <v>1210</v>
      </c>
      <c r="C11" s="18"/>
      <c r="D11" s="18">
        <f t="shared" si="0"/>
        <v>0</v>
      </c>
      <c r="E11" s="21" t="s">
        <v>321</v>
      </c>
      <c r="F11" s="18">
        <v>228</v>
      </c>
      <c r="G11" s="10"/>
      <c r="H11" s="10">
        <f t="shared" si="1"/>
        <v>0</v>
      </c>
    </row>
    <row r="12" spans="1:8" x14ac:dyDescent="0.55000000000000004">
      <c r="A12" s="21" t="s">
        <v>322</v>
      </c>
      <c r="B12" s="21">
        <v>1025</v>
      </c>
      <c r="C12" s="18">
        <v>0.5</v>
      </c>
      <c r="D12" s="18">
        <f t="shared" si="0"/>
        <v>512.5</v>
      </c>
      <c r="E12" s="21" t="s">
        <v>323</v>
      </c>
      <c r="F12" s="18">
        <v>400</v>
      </c>
      <c r="G12" s="10"/>
      <c r="H12" s="10">
        <f t="shared" si="1"/>
        <v>0</v>
      </c>
    </row>
    <row r="13" spans="1:8" x14ac:dyDescent="0.55000000000000004">
      <c r="A13" s="21" t="s">
        <v>100</v>
      </c>
      <c r="B13" s="21">
        <v>627</v>
      </c>
      <c r="C13" s="18"/>
      <c r="D13" s="18">
        <f t="shared" si="0"/>
        <v>0</v>
      </c>
      <c r="E13" s="21" t="s">
        <v>324</v>
      </c>
      <c r="F13" s="18">
        <v>968</v>
      </c>
      <c r="G13" s="10"/>
      <c r="H13" s="10">
        <f t="shared" si="1"/>
        <v>0</v>
      </c>
    </row>
    <row r="14" spans="1:8" x14ac:dyDescent="0.55000000000000004">
      <c r="A14" s="21" t="s">
        <v>325</v>
      </c>
      <c r="B14" s="21">
        <v>752</v>
      </c>
      <c r="C14" s="18">
        <v>1</v>
      </c>
      <c r="D14" s="18">
        <f t="shared" si="0"/>
        <v>752</v>
      </c>
      <c r="E14" s="21" t="s">
        <v>326</v>
      </c>
      <c r="F14" s="18">
        <v>2154</v>
      </c>
      <c r="G14" s="10">
        <v>1.5</v>
      </c>
      <c r="H14" s="10">
        <f t="shared" si="1"/>
        <v>3231</v>
      </c>
    </row>
    <row r="15" spans="1:8" x14ac:dyDescent="0.55000000000000004">
      <c r="A15" s="21" t="s">
        <v>327</v>
      </c>
      <c r="B15" s="21">
        <v>395</v>
      </c>
      <c r="C15" s="18"/>
      <c r="D15" s="18">
        <f t="shared" si="0"/>
        <v>0</v>
      </c>
      <c r="E15" s="21" t="s">
        <v>105</v>
      </c>
      <c r="F15" s="18">
        <v>1.93</v>
      </c>
      <c r="G15" s="10"/>
      <c r="H15" s="10">
        <f t="shared" si="1"/>
        <v>0</v>
      </c>
    </row>
    <row r="16" spans="1:8" x14ac:dyDescent="0.55000000000000004">
      <c r="A16" s="21" t="s">
        <v>328</v>
      </c>
      <c r="B16" s="21">
        <v>972</v>
      </c>
      <c r="C16" s="18">
        <v>1</v>
      </c>
      <c r="D16" s="18">
        <f t="shared" si="0"/>
        <v>972</v>
      </c>
      <c r="E16" s="21" t="s">
        <v>107</v>
      </c>
      <c r="F16" s="18">
        <v>0.59</v>
      </c>
      <c r="G16" s="10"/>
      <c r="H16" s="10">
        <f t="shared" si="1"/>
        <v>0</v>
      </c>
    </row>
    <row r="17" spans="1:8" x14ac:dyDescent="0.55000000000000004">
      <c r="A17" s="21" t="s">
        <v>329</v>
      </c>
      <c r="B17" s="21">
        <v>1015</v>
      </c>
      <c r="C17" s="18"/>
      <c r="D17" s="18">
        <f t="shared" si="0"/>
        <v>0</v>
      </c>
      <c r="E17" s="21" t="s">
        <v>109</v>
      </c>
      <c r="F17" s="18">
        <v>3.23</v>
      </c>
      <c r="G17" s="10"/>
      <c r="H17" s="10">
        <f t="shared" si="1"/>
        <v>0</v>
      </c>
    </row>
    <row r="18" spans="1:8" x14ac:dyDescent="0.55000000000000004">
      <c r="A18" s="21" t="s">
        <v>330</v>
      </c>
      <c r="B18" s="21">
        <v>893</v>
      </c>
      <c r="C18" s="18"/>
      <c r="D18" s="18">
        <f t="shared" si="0"/>
        <v>0</v>
      </c>
      <c r="E18" s="21" t="s">
        <v>111</v>
      </c>
      <c r="F18" s="18">
        <v>2.96</v>
      </c>
      <c r="G18" s="10"/>
      <c r="H18" s="10">
        <f t="shared" si="1"/>
        <v>0</v>
      </c>
    </row>
    <row r="19" spans="1:8" x14ac:dyDescent="0.55000000000000004">
      <c r="A19" s="21" t="s">
        <v>331</v>
      </c>
      <c r="B19" s="21">
        <v>1020</v>
      </c>
      <c r="C19" s="18">
        <v>1.25</v>
      </c>
      <c r="D19" s="18">
        <f t="shared" si="0"/>
        <v>1275</v>
      </c>
      <c r="E19" s="32" t="s">
        <v>113</v>
      </c>
      <c r="F19" s="18">
        <v>902</v>
      </c>
      <c r="G19" s="10"/>
      <c r="H19" s="10">
        <f t="shared" si="1"/>
        <v>0</v>
      </c>
    </row>
    <row r="20" spans="1:8" x14ac:dyDescent="0.55000000000000004">
      <c r="A20" s="21" t="s">
        <v>114</v>
      </c>
      <c r="B20" s="21">
        <v>569</v>
      </c>
      <c r="C20" s="18"/>
      <c r="D20" s="18">
        <f t="shared" si="0"/>
        <v>0</v>
      </c>
      <c r="E20" s="21" t="s">
        <v>332</v>
      </c>
      <c r="F20" s="18">
        <v>1668</v>
      </c>
      <c r="G20" s="10"/>
      <c r="H20" s="10">
        <f t="shared" si="1"/>
        <v>0</v>
      </c>
    </row>
    <row r="21" spans="1:8" x14ac:dyDescent="0.55000000000000004">
      <c r="A21" s="21" t="s">
        <v>116</v>
      </c>
      <c r="B21" s="21">
        <v>2.27</v>
      </c>
      <c r="C21" s="18"/>
      <c r="D21" s="18">
        <f t="shared" si="0"/>
        <v>0</v>
      </c>
      <c r="E21" s="21" t="s">
        <v>117</v>
      </c>
      <c r="F21" s="18">
        <v>54.45</v>
      </c>
      <c r="G21" s="10"/>
      <c r="H21" s="10">
        <f t="shared" si="1"/>
        <v>0</v>
      </c>
    </row>
    <row r="22" spans="1:8" x14ac:dyDescent="0.55000000000000004">
      <c r="A22" s="21" t="s">
        <v>118</v>
      </c>
      <c r="B22" s="21">
        <v>1128</v>
      </c>
      <c r="C22" s="18"/>
      <c r="D22" s="18">
        <f t="shared" si="0"/>
        <v>0</v>
      </c>
      <c r="E22" s="21" t="s">
        <v>119</v>
      </c>
      <c r="F22" s="18">
        <v>1387</v>
      </c>
      <c r="G22" s="10"/>
      <c r="H22" s="10">
        <f t="shared" si="1"/>
        <v>0</v>
      </c>
    </row>
    <row r="23" spans="1:8" x14ac:dyDescent="0.55000000000000004">
      <c r="A23" s="21" t="s">
        <v>120</v>
      </c>
      <c r="B23" s="21">
        <v>17.18</v>
      </c>
      <c r="C23" s="18"/>
      <c r="D23" s="18">
        <f t="shared" si="0"/>
        <v>0</v>
      </c>
      <c r="E23" s="21" t="s">
        <v>333</v>
      </c>
      <c r="F23" s="18">
        <v>862</v>
      </c>
      <c r="G23" s="10"/>
      <c r="H23" s="10">
        <f t="shared" si="1"/>
        <v>0</v>
      </c>
    </row>
    <row r="24" spans="1:8" x14ac:dyDescent="0.55000000000000004">
      <c r="A24" s="21" t="s">
        <v>334</v>
      </c>
      <c r="B24" s="21">
        <v>1310</v>
      </c>
      <c r="C24" s="18"/>
      <c r="D24" s="18">
        <f t="shared" si="0"/>
        <v>0</v>
      </c>
      <c r="E24" s="21" t="s">
        <v>335</v>
      </c>
      <c r="F24" s="18">
        <v>1.56</v>
      </c>
      <c r="G24" s="10"/>
      <c r="H24" s="10">
        <f t="shared" si="1"/>
        <v>0</v>
      </c>
    </row>
    <row r="25" spans="1:8" x14ac:dyDescent="0.55000000000000004">
      <c r="A25" s="21" t="s">
        <v>124</v>
      </c>
      <c r="B25" s="21">
        <v>1.26</v>
      </c>
      <c r="C25" s="18"/>
      <c r="D25" s="18">
        <f t="shared" si="0"/>
        <v>0</v>
      </c>
      <c r="E25" s="21" t="s">
        <v>125</v>
      </c>
      <c r="F25" s="18">
        <v>3.73</v>
      </c>
      <c r="G25" s="10"/>
      <c r="H25" s="10">
        <f t="shared" si="1"/>
        <v>0</v>
      </c>
    </row>
    <row r="26" spans="1:8" x14ac:dyDescent="0.55000000000000004">
      <c r="A26" s="21" t="s">
        <v>126</v>
      </c>
      <c r="B26" s="21">
        <v>1.78</v>
      </c>
      <c r="C26" s="18"/>
      <c r="D26" s="18">
        <f t="shared" si="0"/>
        <v>0</v>
      </c>
      <c r="E26" s="21" t="s">
        <v>127</v>
      </c>
      <c r="F26" s="18">
        <v>943</v>
      </c>
      <c r="G26" s="10">
        <v>0.25</v>
      </c>
      <c r="H26" s="10">
        <f t="shared" si="1"/>
        <v>235.75</v>
      </c>
    </row>
    <row r="27" spans="1:8" x14ac:dyDescent="0.55000000000000004">
      <c r="A27" s="21" t="s">
        <v>336</v>
      </c>
      <c r="B27" s="21">
        <v>518</v>
      </c>
      <c r="C27" s="18">
        <v>1</v>
      </c>
      <c r="D27" s="18">
        <f t="shared" si="0"/>
        <v>518</v>
      </c>
      <c r="E27" s="21" t="s">
        <v>129</v>
      </c>
      <c r="F27" s="18">
        <v>6.81</v>
      </c>
      <c r="G27" s="10"/>
      <c r="H27" s="10">
        <f t="shared" si="1"/>
        <v>0</v>
      </c>
    </row>
    <row r="28" spans="1:8" x14ac:dyDescent="0.55000000000000004">
      <c r="A28" s="21" t="s">
        <v>130</v>
      </c>
      <c r="B28" s="21">
        <v>0.25</v>
      </c>
      <c r="C28" s="18"/>
      <c r="D28" s="18">
        <f t="shared" si="0"/>
        <v>0</v>
      </c>
      <c r="E28" s="21" t="s">
        <v>337</v>
      </c>
      <c r="F28" s="18">
        <v>14.15</v>
      </c>
      <c r="G28" s="10"/>
      <c r="H28" s="10">
        <f t="shared" si="1"/>
        <v>0</v>
      </c>
    </row>
    <row r="29" spans="1:8" x14ac:dyDescent="0.55000000000000004">
      <c r="A29" s="21" t="s">
        <v>338</v>
      </c>
      <c r="B29" s="21">
        <v>849</v>
      </c>
      <c r="C29" s="18"/>
      <c r="D29" s="18">
        <f t="shared" si="0"/>
        <v>0</v>
      </c>
      <c r="E29" s="21" t="s">
        <v>133</v>
      </c>
      <c r="F29" s="18">
        <v>531</v>
      </c>
      <c r="G29" s="10">
        <v>1</v>
      </c>
      <c r="H29" s="10">
        <f t="shared" si="1"/>
        <v>531</v>
      </c>
    </row>
    <row r="30" spans="1:8" x14ac:dyDescent="0.55000000000000004">
      <c r="A30" s="21" t="s">
        <v>134</v>
      </c>
      <c r="B30" s="21">
        <v>3.68</v>
      </c>
      <c r="C30" s="18"/>
      <c r="D30" s="18">
        <f t="shared" si="0"/>
        <v>0</v>
      </c>
      <c r="E30" s="21" t="s">
        <v>135</v>
      </c>
      <c r="F30" s="18"/>
      <c r="G30" s="10"/>
      <c r="H30" s="10">
        <f t="shared" si="1"/>
        <v>0</v>
      </c>
    </row>
    <row r="31" spans="1:8" x14ac:dyDescent="0.55000000000000004">
      <c r="A31" s="21" t="s">
        <v>136</v>
      </c>
      <c r="B31" s="21">
        <v>2655</v>
      </c>
      <c r="C31" s="18"/>
      <c r="D31" s="18">
        <f t="shared" si="0"/>
        <v>0</v>
      </c>
      <c r="E31" s="21" t="s">
        <v>339</v>
      </c>
      <c r="F31" s="18">
        <v>1369</v>
      </c>
      <c r="G31" s="10"/>
      <c r="H31" s="10">
        <f t="shared" si="1"/>
        <v>0</v>
      </c>
    </row>
    <row r="32" spans="1:8" x14ac:dyDescent="0.55000000000000004">
      <c r="A32" s="21" t="s">
        <v>340</v>
      </c>
      <c r="B32" s="21">
        <v>1800</v>
      </c>
      <c r="C32" s="18"/>
      <c r="D32" s="18">
        <f t="shared" si="0"/>
        <v>0</v>
      </c>
      <c r="E32" s="21" t="s">
        <v>341</v>
      </c>
      <c r="F32" s="18">
        <v>795</v>
      </c>
      <c r="G32" s="10"/>
      <c r="H32" s="10">
        <f t="shared" si="1"/>
        <v>0</v>
      </c>
    </row>
    <row r="33" spans="1:8" x14ac:dyDescent="0.55000000000000004">
      <c r="A33" s="21" t="s">
        <v>140</v>
      </c>
      <c r="B33" s="21">
        <v>0.85</v>
      </c>
      <c r="C33" s="18"/>
      <c r="D33" s="18">
        <f t="shared" si="0"/>
        <v>0</v>
      </c>
      <c r="E33" s="21" t="s">
        <v>141</v>
      </c>
      <c r="F33" s="18"/>
      <c r="G33" s="10"/>
      <c r="H33" s="10">
        <f t="shared" si="1"/>
        <v>0</v>
      </c>
    </row>
    <row r="34" spans="1:8" x14ac:dyDescent="0.55000000000000004">
      <c r="A34" s="21" t="s">
        <v>342</v>
      </c>
      <c r="B34" s="21">
        <v>1290</v>
      </c>
      <c r="C34" s="18">
        <v>1.25</v>
      </c>
      <c r="D34" s="18">
        <f t="shared" si="0"/>
        <v>1612.5</v>
      </c>
      <c r="E34" s="21" t="s">
        <v>143</v>
      </c>
      <c r="F34" s="18">
        <v>709</v>
      </c>
      <c r="G34" s="10"/>
      <c r="H34" s="10">
        <f t="shared" si="1"/>
        <v>0</v>
      </c>
    </row>
    <row r="35" spans="1:8" x14ac:dyDescent="0.55000000000000004">
      <c r="A35" s="21" t="s">
        <v>144</v>
      </c>
      <c r="B35" s="21">
        <v>0.86</v>
      </c>
      <c r="C35" s="18"/>
      <c r="D35" s="18">
        <f t="shared" si="0"/>
        <v>0</v>
      </c>
      <c r="E35" s="21" t="s">
        <v>343</v>
      </c>
      <c r="F35" s="18">
        <v>2084</v>
      </c>
      <c r="G35" s="10"/>
      <c r="H35" s="10">
        <f t="shared" si="1"/>
        <v>0</v>
      </c>
    </row>
    <row r="36" spans="1:8" x14ac:dyDescent="0.55000000000000004">
      <c r="A36" s="21" t="s">
        <v>344</v>
      </c>
      <c r="B36" s="21">
        <v>1135</v>
      </c>
      <c r="C36" s="18">
        <v>1</v>
      </c>
      <c r="D36" s="18">
        <f t="shared" si="0"/>
        <v>1135</v>
      </c>
      <c r="E36" s="21" t="s">
        <v>147</v>
      </c>
      <c r="F36" s="18"/>
      <c r="G36" s="10"/>
      <c r="H36" s="10">
        <f t="shared" si="1"/>
        <v>0</v>
      </c>
    </row>
    <row r="37" spans="1:8" x14ac:dyDescent="0.55000000000000004">
      <c r="A37" s="21" t="s">
        <v>345</v>
      </c>
      <c r="B37" s="21">
        <v>17.18</v>
      </c>
      <c r="C37" s="18"/>
      <c r="D37" s="18">
        <f t="shared" si="0"/>
        <v>0</v>
      </c>
      <c r="E37" s="21" t="s">
        <v>346</v>
      </c>
      <c r="F37" s="18">
        <v>900</v>
      </c>
      <c r="G37" s="10">
        <v>0.5</v>
      </c>
      <c r="H37" s="10">
        <f t="shared" si="1"/>
        <v>450</v>
      </c>
    </row>
    <row r="38" spans="1:8" x14ac:dyDescent="0.55000000000000004">
      <c r="A38" s="21" t="s">
        <v>347</v>
      </c>
      <c r="B38" s="21">
        <v>1165</v>
      </c>
      <c r="C38" s="18"/>
      <c r="D38" s="18">
        <f t="shared" si="0"/>
        <v>0</v>
      </c>
      <c r="E38" s="10"/>
      <c r="F38" s="18"/>
      <c r="G38" s="10"/>
      <c r="H38" s="10">
        <f t="shared" si="1"/>
        <v>0</v>
      </c>
    </row>
    <row r="40" spans="1:8" x14ac:dyDescent="0.55000000000000004">
      <c r="D40" s="23">
        <f>SUM(D2:D38)</f>
        <v>15021</v>
      </c>
      <c r="H40" s="11">
        <f>SUM(H2:H38)</f>
        <v>6057.75</v>
      </c>
    </row>
    <row r="41" spans="1:8" x14ac:dyDescent="0.55000000000000004">
      <c r="D41" s="10" t="s">
        <v>305</v>
      </c>
      <c r="E41" s="10">
        <f>SUM(D40,H40)</f>
        <v>21078.75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33D7-4553-47FE-9393-DDAD6FB848E9}">
  <dimension ref="A1:L43"/>
  <sheetViews>
    <sheetView zoomScaleNormal="100" workbookViewId="0">
      <selection activeCell="C39" sqref="C39"/>
    </sheetView>
  </sheetViews>
  <sheetFormatPr defaultColWidth="8.83203125" defaultRowHeight="18" x14ac:dyDescent="0.55000000000000004"/>
  <cols>
    <col min="1" max="1" width="23.1640625" customWidth="1"/>
    <col min="2" max="2" width="11.1640625" customWidth="1"/>
    <col min="3" max="3" width="10" customWidth="1"/>
    <col min="4" max="4" width="8.83203125" customWidth="1"/>
    <col min="5" max="5" width="26.5" customWidth="1"/>
    <col min="6" max="6" width="11.6640625" customWidth="1"/>
    <col min="7" max="7" width="11.83203125" customWidth="1"/>
    <col min="8" max="8" width="9.6640625" bestFit="1" customWidth="1"/>
  </cols>
  <sheetData>
    <row r="1" spans="1:12" x14ac:dyDescent="0.55000000000000004">
      <c r="A1" s="3" t="s">
        <v>0</v>
      </c>
      <c r="B1" s="4" t="s">
        <v>3</v>
      </c>
      <c r="C1" s="4" t="s">
        <v>1</v>
      </c>
      <c r="D1" s="4" t="s">
        <v>4</v>
      </c>
      <c r="E1" s="3" t="s">
        <v>0</v>
      </c>
      <c r="F1" s="3" t="s">
        <v>3</v>
      </c>
      <c r="G1" s="3" t="s">
        <v>1</v>
      </c>
      <c r="H1" s="3" t="s">
        <v>4</v>
      </c>
    </row>
    <row r="2" spans="1:12" x14ac:dyDescent="0.55000000000000004">
      <c r="A2" s="21" t="s">
        <v>348</v>
      </c>
      <c r="B2" s="21">
        <v>21.28</v>
      </c>
      <c r="C2" s="18"/>
      <c r="D2" s="18">
        <f>SUM(C2*B2)</f>
        <v>0</v>
      </c>
      <c r="E2" s="10" t="s">
        <v>349</v>
      </c>
      <c r="F2" s="10">
        <v>454</v>
      </c>
      <c r="G2" s="18">
        <v>1</v>
      </c>
      <c r="H2" s="10">
        <f>SUM(G2*F2)</f>
        <v>454</v>
      </c>
    </row>
    <row r="3" spans="1:12" x14ac:dyDescent="0.55000000000000004">
      <c r="A3" s="21" t="s">
        <v>154</v>
      </c>
      <c r="B3" s="21">
        <v>64.8</v>
      </c>
      <c r="C3" s="18"/>
      <c r="D3" s="18">
        <f t="shared" ref="D3:D38" si="0">SUM(C3*B3)</f>
        <v>0</v>
      </c>
      <c r="E3" s="10" t="s">
        <v>350</v>
      </c>
      <c r="F3" s="10">
        <v>0.4</v>
      </c>
      <c r="G3" s="18"/>
      <c r="H3" s="10">
        <f>SUM(G3*F3)</f>
        <v>0</v>
      </c>
    </row>
    <row r="4" spans="1:12" x14ac:dyDescent="0.55000000000000004">
      <c r="A4" s="21" t="s">
        <v>351</v>
      </c>
      <c r="B4" s="21">
        <v>3826</v>
      </c>
      <c r="C4" s="18">
        <v>1</v>
      </c>
      <c r="D4" s="18">
        <f t="shared" si="0"/>
        <v>3826</v>
      </c>
      <c r="E4" s="10" t="s">
        <v>157</v>
      </c>
      <c r="F4" s="10">
        <v>0.7</v>
      </c>
      <c r="G4" s="18"/>
      <c r="H4" s="10">
        <f t="shared" ref="H4:H38" si="1">SUM(G4*F4)</f>
        <v>0</v>
      </c>
    </row>
    <row r="5" spans="1:12" x14ac:dyDescent="0.55000000000000004">
      <c r="A5" s="21" t="s">
        <v>158</v>
      </c>
      <c r="B5" s="21">
        <v>105.84</v>
      </c>
      <c r="C5" s="18"/>
      <c r="D5" s="18">
        <f t="shared" si="0"/>
        <v>0</v>
      </c>
      <c r="E5" s="10" t="s">
        <v>159</v>
      </c>
      <c r="F5" s="10">
        <v>3.15</v>
      </c>
      <c r="G5" s="18"/>
      <c r="H5" s="10">
        <f t="shared" si="1"/>
        <v>0</v>
      </c>
    </row>
    <row r="6" spans="1:12" x14ac:dyDescent="0.55000000000000004">
      <c r="A6" s="21" t="s">
        <v>352</v>
      </c>
      <c r="B6" s="21">
        <v>1.95</v>
      </c>
      <c r="C6" s="18"/>
      <c r="D6" s="18">
        <f t="shared" si="0"/>
        <v>0</v>
      </c>
      <c r="E6" s="10" t="s">
        <v>161</v>
      </c>
      <c r="F6" s="10">
        <v>1.54</v>
      </c>
      <c r="G6" s="18"/>
      <c r="H6" s="10">
        <f t="shared" si="1"/>
        <v>0</v>
      </c>
    </row>
    <row r="7" spans="1:12" x14ac:dyDescent="0.55000000000000004">
      <c r="A7" s="21" t="s">
        <v>353</v>
      </c>
      <c r="B7" s="21">
        <v>1.67</v>
      </c>
      <c r="C7" s="18"/>
      <c r="D7" s="18">
        <f t="shared" si="0"/>
        <v>0</v>
      </c>
      <c r="E7" s="10" t="s">
        <v>354</v>
      </c>
      <c r="F7" s="10">
        <v>764</v>
      </c>
      <c r="G7" s="18">
        <v>0.25</v>
      </c>
      <c r="H7" s="10">
        <f t="shared" si="1"/>
        <v>191</v>
      </c>
      <c r="L7" s="11"/>
    </row>
    <row r="8" spans="1:12" x14ac:dyDescent="0.55000000000000004">
      <c r="A8" s="21" t="s">
        <v>355</v>
      </c>
      <c r="B8" s="21">
        <v>1.01</v>
      </c>
      <c r="C8" s="18"/>
      <c r="D8" s="18">
        <f t="shared" si="0"/>
        <v>0</v>
      </c>
      <c r="E8" s="10" t="s">
        <v>356</v>
      </c>
      <c r="F8" s="10">
        <v>456</v>
      </c>
      <c r="G8" s="18">
        <v>1</v>
      </c>
      <c r="H8" s="10">
        <f t="shared" si="1"/>
        <v>456</v>
      </c>
      <c r="L8" s="11"/>
    </row>
    <row r="9" spans="1:12" x14ac:dyDescent="0.55000000000000004">
      <c r="A9" s="21" t="s">
        <v>166</v>
      </c>
      <c r="B9" s="21">
        <v>2.9</v>
      </c>
      <c r="C9" s="18"/>
      <c r="D9" s="18">
        <f t="shared" si="0"/>
        <v>0</v>
      </c>
      <c r="E9" s="10" t="s">
        <v>167</v>
      </c>
      <c r="F9" s="10">
        <v>164</v>
      </c>
      <c r="G9" s="18"/>
      <c r="H9" s="10">
        <f t="shared" si="1"/>
        <v>0</v>
      </c>
      <c r="L9" s="11"/>
    </row>
    <row r="10" spans="1:12" x14ac:dyDescent="0.55000000000000004">
      <c r="A10" s="21" t="s">
        <v>357</v>
      </c>
      <c r="B10" s="21">
        <v>4.88</v>
      </c>
      <c r="C10" s="18"/>
      <c r="D10" s="18">
        <f t="shared" si="0"/>
        <v>0</v>
      </c>
      <c r="E10" s="10" t="s">
        <v>169</v>
      </c>
      <c r="F10" s="10">
        <v>1.27</v>
      </c>
      <c r="G10" s="18"/>
      <c r="H10" s="10">
        <f t="shared" si="1"/>
        <v>0</v>
      </c>
      <c r="L10" s="11"/>
    </row>
    <row r="11" spans="1:12" x14ac:dyDescent="0.55000000000000004">
      <c r="A11" s="21" t="s">
        <v>170</v>
      </c>
      <c r="B11" s="21">
        <v>3.46</v>
      </c>
      <c r="C11" s="18"/>
      <c r="D11" s="18">
        <f t="shared" si="0"/>
        <v>0</v>
      </c>
      <c r="E11" s="10" t="s">
        <v>171</v>
      </c>
      <c r="F11" s="10">
        <v>2.5499999999999998</v>
      </c>
      <c r="G11" s="18"/>
      <c r="H11" s="10">
        <f t="shared" si="1"/>
        <v>0</v>
      </c>
      <c r="L11" s="11"/>
    </row>
    <row r="12" spans="1:12" x14ac:dyDescent="0.55000000000000004">
      <c r="A12" s="21" t="s">
        <v>358</v>
      </c>
      <c r="B12" s="21">
        <v>396</v>
      </c>
      <c r="C12" s="18">
        <v>0.25</v>
      </c>
      <c r="D12" s="18">
        <f t="shared" si="0"/>
        <v>99</v>
      </c>
      <c r="E12" s="10" t="s">
        <v>173</v>
      </c>
      <c r="F12" s="10">
        <v>120.53</v>
      </c>
      <c r="G12" s="18"/>
      <c r="H12" s="10">
        <f t="shared" si="1"/>
        <v>0</v>
      </c>
      <c r="L12" s="11"/>
    </row>
    <row r="13" spans="1:12" x14ac:dyDescent="0.55000000000000004">
      <c r="A13" s="21" t="s">
        <v>174</v>
      </c>
      <c r="B13" s="21">
        <v>0.9</v>
      </c>
      <c r="C13" s="18">
        <v>0.25</v>
      </c>
      <c r="D13" s="18">
        <f t="shared" si="0"/>
        <v>0.22500000000000001</v>
      </c>
      <c r="E13" s="10" t="s">
        <v>359</v>
      </c>
      <c r="F13" s="10">
        <v>319</v>
      </c>
      <c r="G13" s="18"/>
      <c r="H13" s="10">
        <f t="shared" si="1"/>
        <v>0</v>
      </c>
      <c r="L13" s="11"/>
    </row>
    <row r="14" spans="1:12" x14ac:dyDescent="0.55000000000000004">
      <c r="A14" s="21" t="s">
        <v>176</v>
      </c>
      <c r="B14" s="21">
        <v>2.58</v>
      </c>
      <c r="C14" s="18"/>
      <c r="D14" s="18">
        <f t="shared" si="0"/>
        <v>0</v>
      </c>
      <c r="E14" s="10" t="s">
        <v>177</v>
      </c>
      <c r="F14" s="10">
        <v>0.78</v>
      </c>
      <c r="G14" s="18"/>
      <c r="H14" s="10">
        <f t="shared" si="1"/>
        <v>0</v>
      </c>
      <c r="L14" s="11"/>
    </row>
    <row r="15" spans="1:12" x14ac:dyDescent="0.55000000000000004">
      <c r="A15" s="21" t="s">
        <v>360</v>
      </c>
      <c r="B15" s="21">
        <v>180</v>
      </c>
      <c r="C15" s="18">
        <v>0.25</v>
      </c>
      <c r="D15" s="18">
        <f t="shared" si="0"/>
        <v>45</v>
      </c>
      <c r="E15" s="10" t="s">
        <v>179</v>
      </c>
      <c r="F15" s="10">
        <v>2.1800000000000002</v>
      </c>
      <c r="G15" s="18"/>
      <c r="H15" s="10">
        <f t="shared" si="1"/>
        <v>0</v>
      </c>
      <c r="L15" s="11"/>
    </row>
    <row r="16" spans="1:12" x14ac:dyDescent="0.55000000000000004">
      <c r="A16" s="21" t="s">
        <v>361</v>
      </c>
      <c r="B16" s="21">
        <v>68</v>
      </c>
      <c r="C16" s="18">
        <v>2.5</v>
      </c>
      <c r="D16" s="18">
        <f t="shared" si="0"/>
        <v>170</v>
      </c>
      <c r="E16" s="10" t="s">
        <v>181</v>
      </c>
      <c r="F16" s="10">
        <v>2.4</v>
      </c>
      <c r="G16" s="18"/>
      <c r="H16" s="10">
        <f t="shared" si="1"/>
        <v>0</v>
      </c>
      <c r="L16" s="11"/>
    </row>
    <row r="17" spans="1:12" x14ac:dyDescent="0.55000000000000004">
      <c r="A17" s="21" t="s">
        <v>182</v>
      </c>
      <c r="B17" s="21">
        <v>68</v>
      </c>
      <c r="C17" s="18">
        <v>1.75</v>
      </c>
      <c r="D17" s="18">
        <f t="shared" si="0"/>
        <v>119</v>
      </c>
      <c r="E17" s="10" t="s">
        <v>183</v>
      </c>
      <c r="F17" s="10">
        <v>1.41</v>
      </c>
      <c r="G17" s="18"/>
      <c r="H17" s="10">
        <f t="shared" si="1"/>
        <v>0</v>
      </c>
      <c r="L17" s="11"/>
    </row>
    <row r="18" spans="1:12" x14ac:dyDescent="0.55000000000000004">
      <c r="A18" s="21" t="s">
        <v>362</v>
      </c>
      <c r="B18" s="21">
        <v>1.38</v>
      </c>
      <c r="C18" s="18"/>
      <c r="D18" s="18">
        <f t="shared" si="0"/>
        <v>0</v>
      </c>
      <c r="E18" s="10" t="s">
        <v>185</v>
      </c>
      <c r="F18" s="10">
        <v>0.42</v>
      </c>
      <c r="G18" s="18"/>
      <c r="H18" s="10">
        <f t="shared" si="1"/>
        <v>0</v>
      </c>
      <c r="L18" s="11"/>
    </row>
    <row r="19" spans="1:12" x14ac:dyDescent="0.55000000000000004">
      <c r="A19" s="21" t="s">
        <v>186</v>
      </c>
      <c r="B19" s="21">
        <v>0.81</v>
      </c>
      <c r="C19" s="18"/>
      <c r="D19" s="18">
        <f t="shared" si="0"/>
        <v>0</v>
      </c>
      <c r="E19" s="10" t="s">
        <v>187</v>
      </c>
      <c r="F19" s="10">
        <v>3.86</v>
      </c>
      <c r="G19" s="18"/>
      <c r="H19" s="10">
        <f t="shared" si="1"/>
        <v>0</v>
      </c>
      <c r="L19" s="11"/>
    </row>
    <row r="20" spans="1:12" x14ac:dyDescent="0.55000000000000004">
      <c r="A20" s="21" t="s">
        <v>363</v>
      </c>
      <c r="B20" s="21">
        <v>501</v>
      </c>
      <c r="C20" s="18"/>
      <c r="D20" s="18">
        <f t="shared" si="0"/>
        <v>0</v>
      </c>
      <c r="E20" s="10" t="s">
        <v>189</v>
      </c>
      <c r="F20" s="10">
        <v>22.38</v>
      </c>
      <c r="G20" s="18"/>
      <c r="H20" s="10">
        <f t="shared" si="1"/>
        <v>0</v>
      </c>
      <c r="L20" s="11"/>
    </row>
    <row r="21" spans="1:12" x14ac:dyDescent="0.55000000000000004">
      <c r="A21" s="21"/>
      <c r="B21" s="21"/>
      <c r="C21" s="18"/>
      <c r="D21" s="18">
        <f t="shared" si="0"/>
        <v>0</v>
      </c>
      <c r="E21" s="10" t="s">
        <v>190</v>
      </c>
      <c r="F21" s="10">
        <v>0.57999999999999996</v>
      </c>
      <c r="G21" s="18"/>
      <c r="H21" s="10">
        <f t="shared" si="1"/>
        <v>0</v>
      </c>
    </row>
    <row r="22" spans="1:12" x14ac:dyDescent="0.55000000000000004">
      <c r="A22" s="21" t="s">
        <v>364</v>
      </c>
      <c r="B22" s="21">
        <v>66.64</v>
      </c>
      <c r="C22" s="18"/>
      <c r="D22" s="18">
        <f t="shared" si="0"/>
        <v>0</v>
      </c>
      <c r="E22" s="10" t="s">
        <v>365</v>
      </c>
      <c r="F22" s="10">
        <v>2949</v>
      </c>
      <c r="G22" s="18">
        <v>1</v>
      </c>
      <c r="H22" s="10">
        <f t="shared" si="1"/>
        <v>2949</v>
      </c>
    </row>
    <row r="23" spans="1:12" x14ac:dyDescent="0.55000000000000004">
      <c r="A23" s="21" t="s">
        <v>366</v>
      </c>
      <c r="B23" s="21">
        <v>3.32</v>
      </c>
      <c r="C23" s="18"/>
      <c r="D23" s="18">
        <f t="shared" si="0"/>
        <v>0</v>
      </c>
      <c r="E23" s="10" t="s">
        <v>367</v>
      </c>
      <c r="F23" s="10">
        <v>1875</v>
      </c>
      <c r="G23" s="18">
        <v>1</v>
      </c>
      <c r="H23" s="10">
        <f t="shared" si="1"/>
        <v>1875</v>
      </c>
    </row>
    <row r="24" spans="1:12" x14ac:dyDescent="0.55000000000000004">
      <c r="A24" s="33" t="s">
        <v>368</v>
      </c>
      <c r="B24" s="21">
        <v>2597</v>
      </c>
      <c r="C24" s="18">
        <v>4</v>
      </c>
      <c r="D24" s="18">
        <f t="shared" si="0"/>
        <v>10388</v>
      </c>
      <c r="E24" s="10" t="s">
        <v>369</v>
      </c>
      <c r="F24" s="10">
        <v>975</v>
      </c>
      <c r="G24" s="18"/>
      <c r="H24" s="10">
        <f t="shared" si="1"/>
        <v>0</v>
      </c>
    </row>
    <row r="25" spans="1:12" x14ac:dyDescent="0.55000000000000004">
      <c r="A25" s="21" t="s">
        <v>370</v>
      </c>
      <c r="B25" s="21">
        <v>77.67</v>
      </c>
      <c r="C25" s="18"/>
      <c r="D25" s="18">
        <f t="shared" si="0"/>
        <v>0</v>
      </c>
      <c r="E25" s="10" t="s">
        <v>371</v>
      </c>
      <c r="F25" s="10">
        <v>1534</v>
      </c>
      <c r="G25" s="18"/>
      <c r="H25" s="10">
        <f t="shared" si="1"/>
        <v>0</v>
      </c>
    </row>
    <row r="26" spans="1:12" x14ac:dyDescent="0.55000000000000004">
      <c r="A26" s="21"/>
      <c r="B26" s="21"/>
      <c r="C26" s="18"/>
      <c r="D26" s="18">
        <f t="shared" si="0"/>
        <v>0</v>
      </c>
      <c r="E26" s="10" t="s">
        <v>199</v>
      </c>
      <c r="F26" s="10">
        <v>1.49</v>
      </c>
      <c r="G26" s="18"/>
      <c r="H26" s="10">
        <f t="shared" si="1"/>
        <v>0</v>
      </c>
    </row>
    <row r="27" spans="1:12" x14ac:dyDescent="0.55000000000000004">
      <c r="A27" s="21" t="s">
        <v>372</v>
      </c>
      <c r="B27" s="21">
        <v>840</v>
      </c>
      <c r="C27" s="18">
        <v>3</v>
      </c>
      <c r="D27" s="18">
        <f t="shared" si="0"/>
        <v>2520</v>
      </c>
      <c r="E27" s="10" t="s">
        <v>201</v>
      </c>
      <c r="F27" s="10">
        <v>0.41</v>
      </c>
      <c r="G27" s="18"/>
      <c r="H27" s="10">
        <f t="shared" si="1"/>
        <v>0</v>
      </c>
    </row>
    <row r="28" spans="1:12" x14ac:dyDescent="0.55000000000000004">
      <c r="A28" s="21" t="s">
        <v>373</v>
      </c>
      <c r="B28" s="21">
        <v>972</v>
      </c>
      <c r="C28" s="18">
        <v>1</v>
      </c>
      <c r="D28" s="18">
        <f t="shared" si="0"/>
        <v>972</v>
      </c>
      <c r="E28" s="10" t="s">
        <v>203</v>
      </c>
      <c r="F28" s="10">
        <v>498.15</v>
      </c>
      <c r="G28" s="18"/>
      <c r="H28" s="10">
        <f t="shared" si="1"/>
        <v>0</v>
      </c>
    </row>
    <row r="29" spans="1:12" x14ac:dyDescent="0.55000000000000004">
      <c r="A29" s="21" t="s">
        <v>374</v>
      </c>
      <c r="B29" s="21">
        <v>5550</v>
      </c>
      <c r="C29" s="18"/>
      <c r="D29" s="18">
        <f t="shared" si="0"/>
        <v>0</v>
      </c>
      <c r="E29" s="10" t="s">
        <v>205</v>
      </c>
      <c r="F29" s="10">
        <v>5.3</v>
      </c>
      <c r="G29" s="18"/>
      <c r="H29" s="10">
        <f t="shared" si="1"/>
        <v>0</v>
      </c>
    </row>
    <row r="30" spans="1:12" x14ac:dyDescent="0.55000000000000004">
      <c r="A30" s="21" t="s">
        <v>375</v>
      </c>
      <c r="B30" s="21">
        <v>494</v>
      </c>
      <c r="C30" s="18"/>
      <c r="D30" s="18">
        <f t="shared" si="0"/>
        <v>0</v>
      </c>
      <c r="E30" s="10" t="s">
        <v>207</v>
      </c>
      <c r="F30" s="10">
        <v>71.28</v>
      </c>
      <c r="G30" s="18"/>
      <c r="H30" s="10">
        <f t="shared" si="1"/>
        <v>0</v>
      </c>
    </row>
    <row r="31" spans="1:12" x14ac:dyDescent="0.55000000000000004">
      <c r="A31" s="21" t="s">
        <v>376</v>
      </c>
      <c r="B31" s="21">
        <v>2960</v>
      </c>
      <c r="C31" s="18">
        <v>1</v>
      </c>
      <c r="D31" s="18">
        <f t="shared" si="0"/>
        <v>2960</v>
      </c>
      <c r="E31" s="10" t="s">
        <v>209</v>
      </c>
      <c r="F31" s="10">
        <v>0.97</v>
      </c>
      <c r="G31" s="18"/>
      <c r="H31" s="10">
        <f t="shared" si="1"/>
        <v>0</v>
      </c>
    </row>
    <row r="32" spans="1:12" x14ac:dyDescent="0.55000000000000004">
      <c r="A32" s="21" t="s">
        <v>377</v>
      </c>
      <c r="B32" s="21">
        <v>494</v>
      </c>
      <c r="C32" s="18">
        <v>3</v>
      </c>
      <c r="D32" s="18">
        <f t="shared" si="0"/>
        <v>1482</v>
      </c>
      <c r="E32" s="10" t="s">
        <v>211</v>
      </c>
      <c r="F32" s="10">
        <v>51.9</v>
      </c>
      <c r="G32" s="18"/>
      <c r="H32" s="10">
        <f t="shared" si="1"/>
        <v>0</v>
      </c>
    </row>
    <row r="33" spans="1:8" x14ac:dyDescent="0.55000000000000004">
      <c r="A33" s="21"/>
      <c r="B33" s="21"/>
      <c r="C33" s="18"/>
      <c r="D33" s="18">
        <f t="shared" si="0"/>
        <v>0</v>
      </c>
      <c r="E33" s="31" t="s">
        <v>212</v>
      </c>
      <c r="F33" s="10">
        <v>1180</v>
      </c>
      <c r="G33" s="18"/>
      <c r="H33" s="10">
        <f t="shared" si="1"/>
        <v>0</v>
      </c>
    </row>
    <row r="34" spans="1:8" x14ac:dyDescent="0.55000000000000004">
      <c r="A34" s="21" t="s">
        <v>213</v>
      </c>
      <c r="B34" s="21"/>
      <c r="C34" s="18"/>
      <c r="D34" s="18">
        <f t="shared" si="0"/>
        <v>0</v>
      </c>
      <c r="E34" s="10" t="s">
        <v>214</v>
      </c>
      <c r="F34" s="10">
        <v>1.28</v>
      </c>
      <c r="G34" s="18"/>
      <c r="H34" s="10">
        <f t="shared" si="1"/>
        <v>0</v>
      </c>
    </row>
    <row r="35" spans="1:8" x14ac:dyDescent="0.55000000000000004">
      <c r="A35" s="21" t="s">
        <v>215</v>
      </c>
      <c r="B35" s="21"/>
      <c r="C35" s="18"/>
      <c r="D35" s="18">
        <f t="shared" si="0"/>
        <v>0</v>
      </c>
      <c r="E35" s="10" t="s">
        <v>378</v>
      </c>
      <c r="F35" s="10">
        <v>141.31</v>
      </c>
      <c r="G35" s="18"/>
      <c r="H35" s="10">
        <f t="shared" si="1"/>
        <v>0</v>
      </c>
    </row>
    <row r="36" spans="1:8" x14ac:dyDescent="0.55000000000000004">
      <c r="A36" s="10" t="s">
        <v>217</v>
      </c>
      <c r="B36" s="10">
        <v>4.7300000000000004</v>
      </c>
      <c r="C36" s="18"/>
      <c r="D36" s="18">
        <f>SUM(C36*B36)</f>
        <v>0</v>
      </c>
      <c r="E36" s="10" t="s">
        <v>379</v>
      </c>
      <c r="F36" s="10">
        <v>5.4</v>
      </c>
      <c r="G36" s="18"/>
      <c r="H36" s="10">
        <f t="shared" si="1"/>
        <v>0</v>
      </c>
    </row>
    <row r="37" spans="1:8" x14ac:dyDescent="0.55000000000000004">
      <c r="A37" s="10" t="s">
        <v>219</v>
      </c>
      <c r="B37" s="10"/>
      <c r="C37" s="18"/>
      <c r="D37" s="18">
        <f t="shared" si="0"/>
        <v>0</v>
      </c>
      <c r="E37" s="10" t="s">
        <v>380</v>
      </c>
      <c r="F37" s="10">
        <v>4.8600000000000003</v>
      </c>
      <c r="G37" s="18">
        <v>21</v>
      </c>
      <c r="H37" s="10">
        <f t="shared" si="1"/>
        <v>102.06</v>
      </c>
    </row>
    <row r="38" spans="1:8" x14ac:dyDescent="0.55000000000000004">
      <c r="A38" s="10" t="s">
        <v>381</v>
      </c>
      <c r="B38" s="10">
        <v>491</v>
      </c>
      <c r="C38" s="18">
        <v>1</v>
      </c>
      <c r="D38" s="18">
        <f t="shared" si="0"/>
        <v>491</v>
      </c>
      <c r="E38" s="10" t="s">
        <v>382</v>
      </c>
      <c r="F38" s="10">
        <v>1.62</v>
      </c>
      <c r="G38" s="10"/>
      <c r="H38" s="10">
        <f t="shared" si="1"/>
        <v>0</v>
      </c>
    </row>
    <row r="40" spans="1:8" x14ac:dyDescent="0.55000000000000004">
      <c r="D40" s="23">
        <f>SUM(D2:D38)</f>
        <v>23072.224999999999</v>
      </c>
      <c r="H40" s="11">
        <f>SUM(H2:H38)</f>
        <v>6027.06</v>
      </c>
    </row>
    <row r="42" spans="1:8" x14ac:dyDescent="0.55000000000000004">
      <c r="D42" s="10" t="s">
        <v>305</v>
      </c>
      <c r="E42" s="10">
        <f>SUM(D40,H40)</f>
        <v>29099.285</v>
      </c>
    </row>
    <row r="43" spans="1:8" x14ac:dyDescent="0.55000000000000004">
      <c r="D43" s="36"/>
      <c r="E43" s="36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1577-4149-4037-8A30-09D93991AFBB}">
  <dimension ref="A1:L43"/>
  <sheetViews>
    <sheetView zoomScale="90" zoomScaleNormal="90" workbookViewId="0">
      <selection activeCell="G2" sqref="G2"/>
    </sheetView>
  </sheetViews>
  <sheetFormatPr defaultColWidth="8.83203125" defaultRowHeight="18" x14ac:dyDescent="0.55000000000000004"/>
  <cols>
    <col min="1" max="1" width="27" customWidth="1"/>
    <col min="2" max="2" width="13.1640625" customWidth="1"/>
    <col min="3" max="3" width="9.83203125" customWidth="1"/>
    <col min="4" max="4" width="10.5" customWidth="1"/>
    <col min="5" max="5" width="22.1640625" customWidth="1"/>
    <col min="6" max="6" width="10.5" customWidth="1"/>
    <col min="7" max="7" width="11.83203125" customWidth="1"/>
    <col min="8" max="8" width="11.1640625" customWidth="1"/>
  </cols>
  <sheetData>
    <row r="1" spans="1:8" x14ac:dyDescent="0.55000000000000004">
      <c r="A1" s="57" t="s">
        <v>0</v>
      </c>
      <c r="B1" s="58" t="s">
        <v>3</v>
      </c>
      <c r="C1" s="58" t="s">
        <v>1</v>
      </c>
      <c r="D1" s="58" t="s">
        <v>4</v>
      </c>
      <c r="E1" s="3" t="s">
        <v>0</v>
      </c>
      <c r="F1" s="3" t="s">
        <v>3</v>
      </c>
      <c r="G1" s="3" t="s">
        <v>1</v>
      </c>
      <c r="H1" s="3" t="s">
        <v>4</v>
      </c>
    </row>
    <row r="2" spans="1:8" x14ac:dyDescent="0.55000000000000004">
      <c r="A2" s="53"/>
      <c r="B2" s="53"/>
      <c r="C2" s="53"/>
      <c r="D2" s="53"/>
      <c r="E2" s="55" t="s">
        <v>224</v>
      </c>
      <c r="F2" s="10">
        <v>5.35</v>
      </c>
      <c r="G2" s="10"/>
      <c r="H2" s="10">
        <f>SUM(G2*F2)</f>
        <v>0</v>
      </c>
    </row>
    <row r="3" spans="1:8" x14ac:dyDescent="0.55000000000000004">
      <c r="A3" s="53"/>
      <c r="B3" s="53"/>
      <c r="C3" s="53"/>
      <c r="D3" s="53"/>
      <c r="E3" s="56" t="s">
        <v>226</v>
      </c>
      <c r="F3" s="10">
        <v>11.34</v>
      </c>
      <c r="G3" s="10"/>
      <c r="H3" s="10">
        <f t="shared" ref="H3:H37" si="0">SUM(G3*F3)</f>
        <v>0</v>
      </c>
    </row>
    <row r="4" spans="1:8" x14ac:dyDescent="0.55000000000000004">
      <c r="A4" s="53"/>
      <c r="B4" s="53"/>
      <c r="C4" s="53"/>
      <c r="D4" s="53"/>
      <c r="E4" s="56" t="s">
        <v>228</v>
      </c>
      <c r="F4" s="10">
        <v>1.98</v>
      </c>
      <c r="G4" s="10"/>
      <c r="H4" s="10">
        <f t="shared" si="0"/>
        <v>0</v>
      </c>
    </row>
    <row r="5" spans="1:8" x14ac:dyDescent="0.55000000000000004">
      <c r="A5" s="53"/>
      <c r="B5" s="53"/>
      <c r="C5" s="53"/>
      <c r="D5" s="53"/>
      <c r="E5" s="56" t="s">
        <v>230</v>
      </c>
      <c r="F5" s="10">
        <v>6.3</v>
      </c>
      <c r="G5" s="10"/>
      <c r="H5" s="10">
        <f t="shared" si="0"/>
        <v>0</v>
      </c>
    </row>
    <row r="6" spans="1:8" x14ac:dyDescent="0.55000000000000004">
      <c r="A6" s="53"/>
      <c r="B6" s="53"/>
      <c r="C6" s="53"/>
      <c r="D6" s="53"/>
      <c r="E6" s="56" t="s">
        <v>232</v>
      </c>
      <c r="F6" s="10">
        <v>1.1399999999999999</v>
      </c>
      <c r="G6" s="10"/>
      <c r="H6" s="10">
        <f t="shared" si="0"/>
        <v>0</v>
      </c>
    </row>
    <row r="7" spans="1:8" x14ac:dyDescent="0.55000000000000004">
      <c r="A7" s="53"/>
      <c r="B7" s="53"/>
      <c r="C7" s="53"/>
      <c r="D7" s="53"/>
      <c r="E7" s="56" t="s">
        <v>383</v>
      </c>
      <c r="F7" s="10">
        <v>925</v>
      </c>
      <c r="G7" s="10">
        <v>1</v>
      </c>
      <c r="H7" s="10">
        <f t="shared" si="0"/>
        <v>925</v>
      </c>
    </row>
    <row r="8" spans="1:8" x14ac:dyDescent="0.55000000000000004">
      <c r="A8" s="53"/>
      <c r="B8" s="53"/>
      <c r="C8" s="53"/>
      <c r="D8" s="53"/>
      <c r="E8" s="56" t="s">
        <v>384</v>
      </c>
      <c r="F8" s="10">
        <v>815</v>
      </c>
      <c r="G8" s="10"/>
      <c r="H8" s="10">
        <f t="shared" si="0"/>
        <v>0</v>
      </c>
    </row>
    <row r="9" spans="1:8" x14ac:dyDescent="0.55000000000000004">
      <c r="A9" s="53"/>
      <c r="B9" s="53"/>
      <c r="C9" s="53"/>
      <c r="D9" s="53"/>
      <c r="E9" s="56" t="s">
        <v>238</v>
      </c>
      <c r="F9" s="10">
        <v>0.25</v>
      </c>
      <c r="G9" s="10"/>
      <c r="H9" s="10">
        <f t="shared" si="0"/>
        <v>0</v>
      </c>
    </row>
    <row r="10" spans="1:8" x14ac:dyDescent="0.55000000000000004">
      <c r="A10" s="53"/>
      <c r="B10" s="53"/>
      <c r="C10" s="53"/>
      <c r="D10" s="53"/>
      <c r="E10" s="56" t="s">
        <v>240</v>
      </c>
      <c r="F10" s="10">
        <v>0.6</v>
      </c>
      <c r="G10" s="10"/>
      <c r="H10" s="10">
        <f t="shared" si="0"/>
        <v>0</v>
      </c>
    </row>
    <row r="11" spans="1:8" x14ac:dyDescent="0.55000000000000004">
      <c r="A11" s="53"/>
      <c r="B11" s="53"/>
      <c r="C11" s="53"/>
      <c r="D11" s="53"/>
      <c r="E11" s="56" t="s">
        <v>385</v>
      </c>
      <c r="F11" s="10">
        <v>1037</v>
      </c>
      <c r="G11" s="10"/>
      <c r="H11" s="10">
        <f t="shared" si="0"/>
        <v>0</v>
      </c>
    </row>
    <row r="12" spans="1:8" x14ac:dyDescent="0.55000000000000004">
      <c r="A12" s="53"/>
      <c r="B12" s="53"/>
      <c r="C12" s="53"/>
      <c r="D12" s="53"/>
      <c r="E12" s="55" t="s">
        <v>386</v>
      </c>
      <c r="F12" s="10">
        <v>4.7300000000000004</v>
      </c>
      <c r="G12" s="10"/>
      <c r="H12" s="10">
        <f t="shared" si="0"/>
        <v>0</v>
      </c>
    </row>
    <row r="13" spans="1:8" x14ac:dyDescent="0.55000000000000004">
      <c r="A13" s="53"/>
      <c r="B13" s="53"/>
      <c r="C13" s="53"/>
      <c r="D13" s="53"/>
      <c r="E13" s="47" t="s">
        <v>387</v>
      </c>
      <c r="F13" s="10"/>
      <c r="G13" s="10"/>
      <c r="H13" s="10">
        <f t="shared" si="0"/>
        <v>0</v>
      </c>
    </row>
    <row r="14" spans="1:8" x14ac:dyDescent="0.55000000000000004">
      <c r="A14" s="53"/>
      <c r="B14" s="53"/>
      <c r="C14" s="53"/>
      <c r="D14" s="53"/>
      <c r="E14" s="47" t="s">
        <v>388</v>
      </c>
      <c r="F14" s="31">
        <v>13200</v>
      </c>
      <c r="G14" s="10">
        <v>2</v>
      </c>
      <c r="H14" s="10">
        <f t="shared" si="0"/>
        <v>26400</v>
      </c>
    </row>
    <row r="15" spans="1:8" x14ac:dyDescent="0.55000000000000004">
      <c r="A15" s="53"/>
      <c r="B15" s="53"/>
      <c r="C15" s="53"/>
      <c r="D15" s="53"/>
      <c r="E15" s="48" t="s">
        <v>389</v>
      </c>
      <c r="F15" s="31">
        <v>1720</v>
      </c>
      <c r="G15" s="10">
        <v>0.75</v>
      </c>
      <c r="H15" s="10">
        <f t="shared" si="0"/>
        <v>1290</v>
      </c>
    </row>
    <row r="16" spans="1:8" ht="18.75" customHeight="1" x14ac:dyDescent="0.55000000000000004">
      <c r="A16" s="53"/>
      <c r="B16" s="53"/>
      <c r="C16" s="53"/>
      <c r="D16" s="53"/>
      <c r="E16" s="47" t="s">
        <v>390</v>
      </c>
      <c r="F16" s="31">
        <v>2650</v>
      </c>
      <c r="G16" s="10"/>
      <c r="H16" s="10">
        <f t="shared" si="0"/>
        <v>0</v>
      </c>
    </row>
    <row r="17" spans="1:12" x14ac:dyDescent="0.55000000000000004">
      <c r="A17" s="46" t="s">
        <v>391</v>
      </c>
      <c r="B17" s="46">
        <v>11500</v>
      </c>
      <c r="C17" s="46">
        <v>3.5</v>
      </c>
      <c r="D17" s="46">
        <f t="shared" ref="D17:D37" si="1">SUM(C17*B17)</f>
        <v>40250</v>
      </c>
      <c r="E17" s="56" t="s">
        <v>392</v>
      </c>
      <c r="F17" s="10">
        <v>9647</v>
      </c>
      <c r="G17" s="10">
        <v>1.25</v>
      </c>
      <c r="H17" s="10">
        <f t="shared" si="0"/>
        <v>12058.75</v>
      </c>
    </row>
    <row r="18" spans="1:12" x14ac:dyDescent="0.55000000000000004">
      <c r="A18" s="46" t="s">
        <v>393</v>
      </c>
      <c r="B18" s="46">
        <v>6860</v>
      </c>
      <c r="C18" s="46">
        <v>1.25</v>
      </c>
      <c r="D18" s="46">
        <f t="shared" si="1"/>
        <v>8575</v>
      </c>
      <c r="E18" s="56" t="s">
        <v>394</v>
      </c>
      <c r="F18" s="10">
        <v>560</v>
      </c>
      <c r="G18" s="10">
        <v>4</v>
      </c>
      <c r="H18" s="10">
        <f t="shared" si="0"/>
        <v>2240</v>
      </c>
    </row>
    <row r="19" spans="1:12" x14ac:dyDescent="0.55000000000000004">
      <c r="A19" s="54" t="s">
        <v>395</v>
      </c>
      <c r="B19" s="46">
        <v>1705</v>
      </c>
      <c r="C19" s="46">
        <v>2.5</v>
      </c>
      <c r="D19" s="46">
        <f t="shared" si="1"/>
        <v>4262.5</v>
      </c>
      <c r="E19" s="56" t="s">
        <v>396</v>
      </c>
      <c r="F19" s="10">
        <v>3000</v>
      </c>
      <c r="G19" s="10">
        <v>0.5</v>
      </c>
      <c r="H19" s="10">
        <f t="shared" si="0"/>
        <v>1500</v>
      </c>
      <c r="L19" t="s">
        <v>397</v>
      </c>
    </row>
    <row r="20" spans="1:12" x14ac:dyDescent="0.55000000000000004">
      <c r="A20" s="54" t="s">
        <v>398</v>
      </c>
      <c r="B20" s="46">
        <v>2915</v>
      </c>
      <c r="C20" s="46">
        <v>2.25</v>
      </c>
      <c r="D20" s="46">
        <f t="shared" si="1"/>
        <v>6558.75</v>
      </c>
      <c r="E20" s="56" t="s">
        <v>399</v>
      </c>
      <c r="F20" s="10">
        <v>3000</v>
      </c>
      <c r="G20" s="10">
        <v>0.5</v>
      </c>
      <c r="H20" s="10">
        <f t="shared" si="0"/>
        <v>1500</v>
      </c>
    </row>
    <row r="21" spans="1:12" x14ac:dyDescent="0.55000000000000004">
      <c r="A21" s="46" t="s">
        <v>400</v>
      </c>
      <c r="B21" s="46">
        <v>6271</v>
      </c>
      <c r="C21" s="46">
        <v>1.75</v>
      </c>
      <c r="D21" s="46">
        <f t="shared" si="1"/>
        <v>10974.25</v>
      </c>
      <c r="E21" s="56" t="s">
        <v>396</v>
      </c>
      <c r="F21" s="10">
        <v>800</v>
      </c>
      <c r="G21" s="10"/>
      <c r="H21" s="10">
        <f t="shared" si="0"/>
        <v>0</v>
      </c>
    </row>
    <row r="22" spans="1:12" x14ac:dyDescent="0.55000000000000004">
      <c r="A22" s="46" t="s">
        <v>401</v>
      </c>
      <c r="B22" s="46">
        <v>5200</v>
      </c>
      <c r="C22" s="46">
        <v>0.75</v>
      </c>
      <c r="D22" s="46">
        <f t="shared" si="1"/>
        <v>3900</v>
      </c>
      <c r="E22" s="56" t="s">
        <v>399</v>
      </c>
      <c r="F22" s="10">
        <v>800</v>
      </c>
      <c r="G22" s="10"/>
      <c r="H22" s="10">
        <f t="shared" si="0"/>
        <v>0</v>
      </c>
    </row>
    <row r="23" spans="1:12" x14ac:dyDescent="0.55000000000000004">
      <c r="A23" s="59" t="s">
        <v>402</v>
      </c>
      <c r="B23" s="51"/>
      <c r="C23" s="51"/>
      <c r="D23" s="51">
        <f t="shared" si="1"/>
        <v>0</v>
      </c>
      <c r="E23" s="10" t="s">
        <v>403</v>
      </c>
      <c r="F23" s="10">
        <v>2200</v>
      </c>
      <c r="G23" s="10">
        <v>0.5</v>
      </c>
      <c r="H23" s="10">
        <f t="shared" si="0"/>
        <v>1100</v>
      </c>
    </row>
    <row r="24" spans="1:12" x14ac:dyDescent="0.55000000000000004">
      <c r="A24" s="10" t="s">
        <v>404</v>
      </c>
      <c r="B24" s="13">
        <v>2965</v>
      </c>
      <c r="C24" s="13">
        <v>0.75</v>
      </c>
      <c r="D24" s="13">
        <f t="shared" si="1"/>
        <v>2223.75</v>
      </c>
      <c r="E24" s="10" t="s">
        <v>405</v>
      </c>
      <c r="F24" s="10">
        <v>2453</v>
      </c>
      <c r="G24" s="10">
        <v>3.75</v>
      </c>
      <c r="H24" s="10">
        <f t="shared" si="0"/>
        <v>9198.75</v>
      </c>
    </row>
    <row r="25" spans="1:12" x14ac:dyDescent="0.55000000000000004">
      <c r="A25" s="10" t="s">
        <v>406</v>
      </c>
      <c r="B25" s="13">
        <v>1790</v>
      </c>
      <c r="C25" s="13">
        <v>1.75</v>
      </c>
      <c r="D25" s="13">
        <f t="shared" si="1"/>
        <v>3132.5</v>
      </c>
      <c r="E25" s="10" t="s">
        <v>407</v>
      </c>
      <c r="F25" s="10">
        <v>3150</v>
      </c>
      <c r="G25" s="10">
        <v>4.5</v>
      </c>
      <c r="H25" s="10">
        <f t="shared" si="0"/>
        <v>14175</v>
      </c>
    </row>
    <row r="26" spans="1:12" x14ac:dyDescent="0.55000000000000004">
      <c r="A26" s="10" t="s">
        <v>408</v>
      </c>
      <c r="B26" s="13">
        <v>3535</v>
      </c>
      <c r="C26" s="13">
        <v>2</v>
      </c>
      <c r="D26" s="13">
        <f t="shared" si="1"/>
        <v>7070</v>
      </c>
      <c r="E26" s="10" t="s">
        <v>409</v>
      </c>
      <c r="F26" s="10">
        <v>3377</v>
      </c>
      <c r="G26" s="10">
        <v>2.75</v>
      </c>
      <c r="H26" s="10">
        <f t="shared" si="0"/>
        <v>9286.75</v>
      </c>
    </row>
    <row r="27" spans="1:12" x14ac:dyDescent="0.55000000000000004">
      <c r="A27" s="30" t="s">
        <v>410</v>
      </c>
      <c r="B27" s="13">
        <v>2805</v>
      </c>
      <c r="C27" s="13">
        <v>1.5</v>
      </c>
      <c r="D27" s="13">
        <f t="shared" si="1"/>
        <v>4207.5</v>
      </c>
      <c r="E27" s="10" t="s">
        <v>411</v>
      </c>
      <c r="F27" s="10">
        <v>2510</v>
      </c>
      <c r="G27" s="10">
        <v>2.5</v>
      </c>
      <c r="H27" s="10">
        <f t="shared" si="0"/>
        <v>6275</v>
      </c>
    </row>
    <row r="28" spans="1:12" x14ac:dyDescent="0.55000000000000004">
      <c r="A28" s="30" t="s">
        <v>412</v>
      </c>
      <c r="B28" s="13">
        <v>3740</v>
      </c>
      <c r="C28" s="13">
        <v>1.25</v>
      </c>
      <c r="D28" s="13">
        <f t="shared" si="1"/>
        <v>4675</v>
      </c>
      <c r="E28" s="10" t="s">
        <v>413</v>
      </c>
      <c r="F28" s="10">
        <v>1450</v>
      </c>
      <c r="G28" s="10">
        <v>1.5</v>
      </c>
      <c r="H28" s="10">
        <f t="shared" si="0"/>
        <v>2175</v>
      </c>
    </row>
    <row r="29" spans="1:12" x14ac:dyDescent="0.55000000000000004">
      <c r="A29" s="10" t="s">
        <v>414</v>
      </c>
      <c r="B29" s="13">
        <v>3200</v>
      </c>
      <c r="C29" s="13">
        <v>1.75</v>
      </c>
      <c r="D29" s="13">
        <f t="shared" si="1"/>
        <v>5600</v>
      </c>
      <c r="E29" s="10" t="s">
        <v>415</v>
      </c>
      <c r="F29" s="10">
        <v>2530</v>
      </c>
      <c r="G29" s="10"/>
      <c r="H29" s="10">
        <f t="shared" si="0"/>
        <v>0</v>
      </c>
    </row>
    <row r="30" spans="1:12" x14ac:dyDescent="0.55000000000000004">
      <c r="A30" s="31" t="s">
        <v>416</v>
      </c>
      <c r="B30" s="13">
        <v>3200</v>
      </c>
      <c r="C30" s="13">
        <v>1.75</v>
      </c>
      <c r="D30" s="13">
        <f t="shared" si="1"/>
        <v>5600</v>
      </c>
      <c r="E30" s="10" t="s">
        <v>417</v>
      </c>
      <c r="F30" s="10">
        <v>583</v>
      </c>
      <c r="G30" s="10"/>
      <c r="H30" s="10">
        <f t="shared" si="0"/>
        <v>0</v>
      </c>
    </row>
    <row r="31" spans="1:12" x14ac:dyDescent="0.55000000000000004">
      <c r="A31" s="10" t="s">
        <v>418</v>
      </c>
      <c r="B31" s="13">
        <v>3200</v>
      </c>
      <c r="C31" s="13">
        <v>1.5</v>
      </c>
      <c r="D31" s="13">
        <f t="shared" si="1"/>
        <v>4800</v>
      </c>
      <c r="E31" s="30" t="s">
        <v>419</v>
      </c>
      <c r="F31" s="10"/>
      <c r="G31" s="10"/>
      <c r="H31" s="10">
        <f t="shared" si="0"/>
        <v>0</v>
      </c>
    </row>
    <row r="32" spans="1:12" x14ac:dyDescent="0.55000000000000004">
      <c r="A32" s="10" t="s">
        <v>420</v>
      </c>
      <c r="B32" s="13">
        <v>3191</v>
      </c>
      <c r="C32" s="13">
        <v>2.5</v>
      </c>
      <c r="D32" s="13">
        <f t="shared" si="1"/>
        <v>7977.5</v>
      </c>
      <c r="E32" s="10" t="s">
        <v>421</v>
      </c>
      <c r="F32" s="10">
        <v>5000</v>
      </c>
      <c r="G32" s="10"/>
      <c r="H32" s="10">
        <f t="shared" si="0"/>
        <v>0</v>
      </c>
    </row>
    <row r="33" spans="1:8" x14ac:dyDescent="0.55000000000000004">
      <c r="A33" s="31" t="s">
        <v>422</v>
      </c>
      <c r="B33" s="13">
        <v>2420</v>
      </c>
      <c r="C33" s="13">
        <v>3.25</v>
      </c>
      <c r="D33" s="13">
        <f t="shared" si="1"/>
        <v>7865</v>
      </c>
      <c r="E33" s="10" t="s">
        <v>421</v>
      </c>
      <c r="F33" s="10">
        <v>3000</v>
      </c>
      <c r="G33" s="10"/>
      <c r="H33" s="10">
        <f t="shared" si="0"/>
        <v>0</v>
      </c>
    </row>
    <row r="34" spans="1:8" x14ac:dyDescent="0.55000000000000004">
      <c r="A34" s="10" t="s">
        <v>423</v>
      </c>
      <c r="B34" s="13">
        <v>2150</v>
      </c>
      <c r="C34" s="13">
        <v>2.5</v>
      </c>
      <c r="D34" s="13">
        <f t="shared" si="1"/>
        <v>5375</v>
      </c>
      <c r="E34" s="10" t="s">
        <v>424</v>
      </c>
      <c r="F34" s="10">
        <v>500</v>
      </c>
      <c r="G34" s="10">
        <v>11</v>
      </c>
      <c r="H34" s="10">
        <f t="shared" si="0"/>
        <v>5500</v>
      </c>
    </row>
    <row r="35" spans="1:8" x14ac:dyDescent="0.55000000000000004">
      <c r="A35" s="30" t="s">
        <v>425</v>
      </c>
      <c r="B35" s="13">
        <v>24000</v>
      </c>
      <c r="C35" s="13">
        <v>2.75</v>
      </c>
      <c r="D35" s="13">
        <f t="shared" si="1"/>
        <v>66000</v>
      </c>
      <c r="E35" s="10" t="s">
        <v>424</v>
      </c>
      <c r="F35" s="10">
        <v>1000</v>
      </c>
      <c r="G35" s="10">
        <v>3</v>
      </c>
      <c r="H35" s="10">
        <f t="shared" si="0"/>
        <v>3000</v>
      </c>
    </row>
    <row r="36" spans="1:8" x14ac:dyDescent="0.55000000000000004">
      <c r="A36" s="10" t="s">
        <v>426</v>
      </c>
      <c r="B36" s="13">
        <v>7000</v>
      </c>
      <c r="C36" s="13">
        <v>4.25</v>
      </c>
      <c r="D36" s="13">
        <f t="shared" si="1"/>
        <v>29750</v>
      </c>
      <c r="E36" s="10" t="s">
        <v>424</v>
      </c>
      <c r="F36" s="10">
        <v>1200</v>
      </c>
      <c r="G36" s="10">
        <v>6</v>
      </c>
      <c r="H36" s="10">
        <f t="shared" si="0"/>
        <v>7200</v>
      </c>
    </row>
    <row r="37" spans="1:8" x14ac:dyDescent="0.55000000000000004">
      <c r="A37" s="31" t="s">
        <v>427</v>
      </c>
      <c r="B37" s="13">
        <v>6000</v>
      </c>
      <c r="C37" s="13">
        <v>4.5</v>
      </c>
      <c r="D37" s="13">
        <f t="shared" si="1"/>
        <v>27000</v>
      </c>
      <c r="E37" s="10" t="s">
        <v>428</v>
      </c>
      <c r="F37" s="10">
        <v>484</v>
      </c>
      <c r="G37" s="10">
        <v>3</v>
      </c>
      <c r="H37" s="10">
        <f t="shared" si="0"/>
        <v>1452</v>
      </c>
    </row>
    <row r="38" spans="1:8" hidden="1" x14ac:dyDescent="0.55000000000000004">
      <c r="A38" s="15"/>
      <c r="B38" s="15"/>
      <c r="C38" s="2"/>
      <c r="D38" s="2"/>
      <c r="E38" s="2"/>
      <c r="F38" s="2"/>
      <c r="G38" s="14"/>
    </row>
    <row r="40" spans="1:8" x14ac:dyDescent="0.55000000000000004">
      <c r="D40" s="11">
        <f>SUM(D17:D39)</f>
        <v>255796.75</v>
      </c>
      <c r="E40" s="11"/>
      <c r="F40" s="11"/>
      <c r="G40" s="11"/>
      <c r="H40" s="11">
        <f>SUM(H2:H39)</f>
        <v>105276.25</v>
      </c>
    </row>
    <row r="41" spans="1:8" x14ac:dyDescent="0.55000000000000004">
      <c r="D41" s="11"/>
      <c r="E41" s="10" t="s">
        <v>429</v>
      </c>
      <c r="F41" s="10">
        <f>SUM(H14:H37:C17:C37)</f>
        <v>425053.5</v>
      </c>
      <c r="G41" s="11"/>
      <c r="H41" s="11"/>
    </row>
    <row r="42" spans="1:8" x14ac:dyDescent="0.55000000000000004">
      <c r="D42" s="11"/>
      <c r="E42" s="10" t="s">
        <v>430</v>
      </c>
      <c r="F42" s="10">
        <f>SUM(F41*1.1)</f>
        <v>467558.85000000003</v>
      </c>
      <c r="G42" s="11"/>
      <c r="H42" s="11"/>
    </row>
    <row r="43" spans="1:8" x14ac:dyDescent="0.55000000000000004">
      <c r="D43" s="11"/>
      <c r="E43" s="10" t="s">
        <v>431</v>
      </c>
      <c r="F43" s="10">
        <f>SUM(F42,H3,H8,H11,H12)</f>
        <v>467558.85000000003</v>
      </c>
      <c r="G43" s="11"/>
      <c r="H43" s="11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D69B-03C8-4FC9-8F1A-E71A2D34CE8D}">
  <dimension ref="A1:D44"/>
  <sheetViews>
    <sheetView zoomScaleNormal="100" workbookViewId="0">
      <selection activeCell="D45" sqref="D45"/>
    </sheetView>
  </sheetViews>
  <sheetFormatPr defaultColWidth="8.83203125" defaultRowHeight="18" x14ac:dyDescent="0.55000000000000004"/>
  <cols>
    <col min="1" max="1" width="27" customWidth="1"/>
    <col min="2" max="2" width="14.6640625" customWidth="1"/>
    <col min="3" max="4" width="15.1640625" customWidth="1"/>
  </cols>
  <sheetData>
    <row r="1" spans="1:4" x14ac:dyDescent="0.55000000000000004">
      <c r="A1" s="3" t="s">
        <v>0</v>
      </c>
      <c r="B1" s="4" t="s">
        <v>3</v>
      </c>
      <c r="C1" s="3" t="s">
        <v>77</v>
      </c>
      <c r="D1" s="3" t="s">
        <v>4</v>
      </c>
    </row>
    <row r="2" spans="1:4" x14ac:dyDescent="0.55000000000000004">
      <c r="A2" s="10" t="s">
        <v>432</v>
      </c>
      <c r="B2" s="10">
        <v>173</v>
      </c>
      <c r="C2" s="10">
        <v>27</v>
      </c>
      <c r="D2" s="10">
        <f>SUM(C2*B2)</f>
        <v>4671</v>
      </c>
    </row>
    <row r="3" spans="1:4" x14ac:dyDescent="0.55000000000000004">
      <c r="A3" s="10" t="s">
        <v>433</v>
      </c>
      <c r="B3" s="10">
        <v>498</v>
      </c>
      <c r="C3" s="10">
        <v>4</v>
      </c>
      <c r="D3" s="10">
        <f t="shared" ref="D3:D37" si="0">SUM(C3*B3)</f>
        <v>1992</v>
      </c>
    </row>
    <row r="4" spans="1:4" x14ac:dyDescent="0.55000000000000004">
      <c r="A4" s="10" t="s">
        <v>434</v>
      </c>
      <c r="B4" s="10">
        <v>694</v>
      </c>
      <c r="C4" s="10">
        <v>3</v>
      </c>
      <c r="D4" s="10">
        <f t="shared" si="0"/>
        <v>2082</v>
      </c>
    </row>
    <row r="5" spans="1:4" x14ac:dyDescent="0.55000000000000004">
      <c r="A5" s="10" t="s">
        <v>435</v>
      </c>
      <c r="B5" s="10">
        <v>1202</v>
      </c>
      <c r="C5" s="10">
        <v>5.75</v>
      </c>
      <c r="D5" s="10">
        <f t="shared" si="0"/>
        <v>6911.5</v>
      </c>
    </row>
    <row r="6" spans="1:4" x14ac:dyDescent="0.55000000000000004">
      <c r="A6" s="10" t="s">
        <v>436</v>
      </c>
      <c r="B6" s="10">
        <v>567</v>
      </c>
      <c r="C6" s="10">
        <v>11.5</v>
      </c>
      <c r="D6" s="10">
        <f t="shared" si="0"/>
        <v>6520.5</v>
      </c>
    </row>
    <row r="7" spans="1:4" x14ac:dyDescent="0.55000000000000004">
      <c r="A7" s="10" t="s">
        <v>437</v>
      </c>
      <c r="B7" s="10">
        <v>312.5</v>
      </c>
      <c r="C7" s="10"/>
      <c r="D7" s="10">
        <f t="shared" si="0"/>
        <v>0</v>
      </c>
    </row>
    <row r="8" spans="1:4" x14ac:dyDescent="0.55000000000000004">
      <c r="A8" s="10" t="s">
        <v>438</v>
      </c>
      <c r="B8" s="10">
        <v>229</v>
      </c>
      <c r="C8" s="10">
        <v>8</v>
      </c>
      <c r="D8" s="10">
        <f t="shared" si="0"/>
        <v>1832</v>
      </c>
    </row>
    <row r="9" spans="1:4" x14ac:dyDescent="0.55000000000000004">
      <c r="A9" s="10" t="s">
        <v>439</v>
      </c>
      <c r="B9" s="10">
        <v>197</v>
      </c>
      <c r="C9" s="10">
        <v>17.25</v>
      </c>
      <c r="D9" s="10">
        <f t="shared" si="0"/>
        <v>3398.25</v>
      </c>
    </row>
    <row r="10" spans="1:4" x14ac:dyDescent="0.55000000000000004">
      <c r="A10" s="10" t="s">
        <v>440</v>
      </c>
      <c r="B10" s="10">
        <v>180</v>
      </c>
      <c r="C10" s="10">
        <v>19.25</v>
      </c>
      <c r="D10" s="10">
        <f t="shared" si="0"/>
        <v>3465</v>
      </c>
    </row>
    <row r="11" spans="1:4" x14ac:dyDescent="0.55000000000000004">
      <c r="A11" s="10" t="s">
        <v>441</v>
      </c>
      <c r="B11" s="10">
        <v>167</v>
      </c>
      <c r="C11" s="10">
        <v>5</v>
      </c>
      <c r="D11" s="10">
        <f t="shared" si="0"/>
        <v>835</v>
      </c>
    </row>
    <row r="12" spans="1:4" x14ac:dyDescent="0.55000000000000004">
      <c r="A12" s="10" t="s">
        <v>442</v>
      </c>
      <c r="B12" s="10">
        <v>129</v>
      </c>
      <c r="C12" s="10">
        <v>11</v>
      </c>
      <c r="D12" s="10">
        <f t="shared" si="0"/>
        <v>1419</v>
      </c>
    </row>
    <row r="13" spans="1:4" x14ac:dyDescent="0.55000000000000004">
      <c r="A13" s="10"/>
      <c r="B13" s="10"/>
      <c r="C13" s="10"/>
      <c r="D13" s="10">
        <f t="shared" si="0"/>
        <v>0</v>
      </c>
    </row>
    <row r="14" spans="1:4" x14ac:dyDescent="0.55000000000000004">
      <c r="A14" s="10" t="s">
        <v>443</v>
      </c>
      <c r="B14" s="13">
        <v>1736</v>
      </c>
      <c r="C14" s="10">
        <v>1.5</v>
      </c>
      <c r="D14" s="10">
        <f t="shared" si="0"/>
        <v>2604</v>
      </c>
    </row>
    <row r="15" spans="1:4" x14ac:dyDescent="0.55000000000000004">
      <c r="A15" s="10" t="s">
        <v>444</v>
      </c>
      <c r="B15" s="13">
        <v>1287</v>
      </c>
      <c r="C15" s="10">
        <v>1.5</v>
      </c>
      <c r="D15" s="10">
        <f t="shared" si="0"/>
        <v>1930.5</v>
      </c>
    </row>
    <row r="16" spans="1:4" x14ac:dyDescent="0.55000000000000004">
      <c r="A16" s="10" t="s">
        <v>445</v>
      </c>
      <c r="B16" s="13">
        <v>2402</v>
      </c>
      <c r="C16" s="10">
        <v>1.25</v>
      </c>
      <c r="D16" s="10">
        <f t="shared" si="0"/>
        <v>3002.5</v>
      </c>
    </row>
    <row r="17" spans="1:4" x14ac:dyDescent="0.55000000000000004">
      <c r="A17" s="10" t="s">
        <v>446</v>
      </c>
      <c r="B17" s="13">
        <v>1761</v>
      </c>
      <c r="C17" s="10">
        <v>0.25</v>
      </c>
      <c r="D17" s="10">
        <f t="shared" si="0"/>
        <v>440.25</v>
      </c>
    </row>
    <row r="18" spans="1:4" x14ac:dyDescent="0.55000000000000004">
      <c r="A18" s="10" t="s">
        <v>447</v>
      </c>
      <c r="B18" s="13">
        <v>3220</v>
      </c>
      <c r="C18" s="10">
        <v>1.5</v>
      </c>
      <c r="D18" s="10">
        <f t="shared" si="0"/>
        <v>4830</v>
      </c>
    </row>
    <row r="19" spans="1:4" x14ac:dyDescent="0.55000000000000004">
      <c r="A19" s="10" t="s">
        <v>438</v>
      </c>
      <c r="B19" s="13">
        <v>1505</v>
      </c>
      <c r="C19" s="10"/>
      <c r="D19" s="10">
        <f t="shared" si="0"/>
        <v>0</v>
      </c>
    </row>
    <row r="20" spans="1:4" x14ac:dyDescent="0.55000000000000004">
      <c r="A20" s="10"/>
      <c r="B20" s="13"/>
      <c r="C20" s="10"/>
      <c r="D20" s="10">
        <f t="shared" si="0"/>
        <v>0</v>
      </c>
    </row>
    <row r="21" spans="1:4" x14ac:dyDescent="0.55000000000000004">
      <c r="A21" s="10" t="s">
        <v>444</v>
      </c>
      <c r="B21" s="13">
        <v>243</v>
      </c>
      <c r="C21" s="10"/>
      <c r="D21" s="10">
        <f t="shared" si="0"/>
        <v>0</v>
      </c>
    </row>
    <row r="22" spans="1:4" x14ac:dyDescent="0.55000000000000004">
      <c r="A22" s="10" t="s">
        <v>448</v>
      </c>
      <c r="B22" s="13">
        <v>233</v>
      </c>
      <c r="C22" s="10"/>
      <c r="D22" s="10">
        <f t="shared" si="0"/>
        <v>0</v>
      </c>
    </row>
    <row r="23" spans="1:4" x14ac:dyDescent="0.55000000000000004">
      <c r="A23" s="10"/>
      <c r="B23" s="13"/>
      <c r="C23" s="10"/>
      <c r="D23" s="10">
        <f t="shared" si="0"/>
        <v>0</v>
      </c>
    </row>
    <row r="24" spans="1:4" x14ac:dyDescent="0.55000000000000004">
      <c r="A24" s="10"/>
      <c r="B24" s="13"/>
      <c r="C24" s="10"/>
      <c r="D24" s="10">
        <f t="shared" si="0"/>
        <v>0</v>
      </c>
    </row>
    <row r="25" spans="1:4" x14ac:dyDescent="0.55000000000000004">
      <c r="A25" s="10"/>
      <c r="B25" s="13"/>
      <c r="C25" s="10"/>
      <c r="D25" s="10">
        <f t="shared" si="0"/>
        <v>0</v>
      </c>
    </row>
    <row r="26" spans="1:4" x14ac:dyDescent="0.55000000000000004">
      <c r="A26" s="10"/>
      <c r="B26" s="13"/>
      <c r="C26" s="10"/>
      <c r="D26" s="10">
        <f t="shared" si="0"/>
        <v>0</v>
      </c>
    </row>
    <row r="27" spans="1:4" x14ac:dyDescent="0.55000000000000004">
      <c r="A27" s="10"/>
      <c r="B27" s="13"/>
      <c r="C27" s="10"/>
      <c r="D27" s="10">
        <f t="shared" si="0"/>
        <v>0</v>
      </c>
    </row>
    <row r="28" spans="1:4" x14ac:dyDescent="0.55000000000000004">
      <c r="A28" s="10"/>
      <c r="B28" s="13"/>
      <c r="C28" s="10"/>
      <c r="D28" s="10">
        <f t="shared" si="0"/>
        <v>0</v>
      </c>
    </row>
    <row r="29" spans="1:4" x14ac:dyDescent="0.55000000000000004">
      <c r="A29" s="10"/>
      <c r="B29" s="13"/>
      <c r="C29" s="10"/>
      <c r="D29" s="10">
        <f t="shared" si="0"/>
        <v>0</v>
      </c>
    </row>
    <row r="30" spans="1:4" x14ac:dyDescent="0.55000000000000004">
      <c r="A30" s="10"/>
      <c r="B30" s="13"/>
      <c r="C30" s="10"/>
      <c r="D30" s="10">
        <f t="shared" si="0"/>
        <v>0</v>
      </c>
    </row>
    <row r="31" spans="1:4" x14ac:dyDescent="0.55000000000000004">
      <c r="A31" s="10"/>
      <c r="B31" s="13"/>
      <c r="C31" s="10"/>
      <c r="D31" s="10">
        <f t="shared" si="0"/>
        <v>0</v>
      </c>
    </row>
    <row r="32" spans="1:4" x14ac:dyDescent="0.55000000000000004">
      <c r="A32" s="37"/>
      <c r="B32" s="39"/>
      <c r="C32" s="37"/>
      <c r="D32" s="37">
        <f t="shared" si="0"/>
        <v>0</v>
      </c>
    </row>
    <row r="33" spans="1:4" x14ac:dyDescent="0.55000000000000004">
      <c r="A33" s="37"/>
      <c r="B33" s="39"/>
      <c r="C33" s="37"/>
      <c r="D33" s="37">
        <f t="shared" si="0"/>
        <v>0</v>
      </c>
    </row>
    <row r="34" spans="1:4" x14ac:dyDescent="0.55000000000000004">
      <c r="A34" s="37"/>
      <c r="B34" s="39"/>
      <c r="C34" s="37"/>
      <c r="D34" s="37">
        <f t="shared" si="0"/>
        <v>0</v>
      </c>
    </row>
    <row r="35" spans="1:4" x14ac:dyDescent="0.55000000000000004">
      <c r="A35" s="37"/>
      <c r="B35" s="39"/>
      <c r="C35" s="37"/>
      <c r="D35" s="37">
        <f t="shared" si="0"/>
        <v>0</v>
      </c>
    </row>
    <row r="36" spans="1:4" x14ac:dyDescent="0.55000000000000004">
      <c r="A36" s="37"/>
      <c r="B36" s="39"/>
      <c r="C36" s="37"/>
      <c r="D36" s="37">
        <f t="shared" si="0"/>
        <v>0</v>
      </c>
    </row>
    <row r="37" spans="1:4" x14ac:dyDescent="0.55000000000000004">
      <c r="A37" s="37"/>
      <c r="B37" s="39"/>
      <c r="C37" s="37"/>
      <c r="D37" s="37">
        <f t="shared" si="0"/>
        <v>0</v>
      </c>
    </row>
    <row r="38" spans="1:4" hidden="1" x14ac:dyDescent="0.55000000000000004">
      <c r="A38" s="2"/>
      <c r="B38" s="2"/>
      <c r="C38" s="2"/>
      <c r="D38" s="2"/>
    </row>
    <row r="40" spans="1:4" x14ac:dyDescent="0.55000000000000004">
      <c r="C40" s="10" t="s">
        <v>449</v>
      </c>
      <c r="D40" s="10">
        <f>SUM(D2:D39)</f>
        <v>45933.5</v>
      </c>
    </row>
    <row r="41" spans="1:4" x14ac:dyDescent="0.55000000000000004">
      <c r="C41" s="10" t="s">
        <v>450</v>
      </c>
      <c r="D41" s="10">
        <f>SUM(D40*1.08)</f>
        <v>49608.18</v>
      </c>
    </row>
    <row r="42" spans="1:4" x14ac:dyDescent="0.55000000000000004">
      <c r="C42" s="11"/>
      <c r="D42" s="11"/>
    </row>
    <row r="43" spans="1:4" x14ac:dyDescent="0.55000000000000004">
      <c r="C43" s="11"/>
      <c r="D43" s="11"/>
    </row>
    <row r="44" spans="1:4" x14ac:dyDescent="0.55000000000000004">
      <c r="C44" s="11" t="s">
        <v>305</v>
      </c>
      <c r="D44" s="45">
        <v>611208.53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8AB2-C143-4DD6-921B-27D5BCCD605C}">
  <dimension ref="A1:F40"/>
  <sheetViews>
    <sheetView topLeftCell="A13" zoomScaleNormal="100" workbookViewId="0">
      <selection activeCell="B33" sqref="B33"/>
    </sheetView>
  </sheetViews>
  <sheetFormatPr defaultColWidth="8.83203125" defaultRowHeight="18" x14ac:dyDescent="0.55000000000000004"/>
  <cols>
    <col min="1" max="1" width="27" style="52" customWidth="1"/>
    <col min="2" max="2" width="12.5" style="52" customWidth="1"/>
    <col min="3" max="3" width="11.6640625" style="52" customWidth="1"/>
    <col min="4" max="4" width="14.6640625" style="52" customWidth="1"/>
    <col min="5" max="5" width="22.1640625" style="52" customWidth="1"/>
    <col min="6" max="6" width="15.1640625" style="52" customWidth="1"/>
  </cols>
  <sheetData>
    <row r="1" spans="1:6" x14ac:dyDescent="0.55000000000000004">
      <c r="A1" s="60" t="s">
        <v>0</v>
      </c>
      <c r="B1" s="61" t="s">
        <v>451</v>
      </c>
      <c r="C1" s="61" t="s">
        <v>1</v>
      </c>
      <c r="D1" s="61" t="s">
        <v>452</v>
      </c>
      <c r="E1" s="60" t="s">
        <v>0</v>
      </c>
      <c r="F1" s="60" t="s">
        <v>1</v>
      </c>
    </row>
    <row r="2" spans="1:6" x14ac:dyDescent="0.55000000000000004">
      <c r="A2" s="10" t="s">
        <v>453</v>
      </c>
      <c r="B2" s="10">
        <v>923</v>
      </c>
      <c r="C2" s="10"/>
      <c r="D2" s="10">
        <f>B2*C2</f>
        <v>0</v>
      </c>
      <c r="E2" s="10"/>
      <c r="F2" s="10"/>
    </row>
    <row r="3" spans="1:6" x14ac:dyDescent="0.55000000000000004">
      <c r="A3" s="10" t="s">
        <v>454</v>
      </c>
      <c r="B3" s="10">
        <v>971</v>
      </c>
      <c r="C3" s="10">
        <v>1.75</v>
      </c>
      <c r="D3" s="10">
        <f t="shared" ref="D3:D37" si="0">B3*C3</f>
        <v>1699.25</v>
      </c>
      <c r="E3" s="10"/>
      <c r="F3" s="10"/>
    </row>
    <row r="4" spans="1:6" x14ac:dyDescent="0.55000000000000004">
      <c r="A4" s="10" t="s">
        <v>455</v>
      </c>
      <c r="B4" s="10">
        <v>2211</v>
      </c>
      <c r="C4" s="10">
        <v>0.75</v>
      </c>
      <c r="D4" s="10">
        <f t="shared" si="0"/>
        <v>1658.25</v>
      </c>
      <c r="E4" s="10"/>
      <c r="F4" s="10"/>
    </row>
    <row r="5" spans="1:6" x14ac:dyDescent="0.55000000000000004">
      <c r="A5" s="10" t="s">
        <v>456</v>
      </c>
      <c r="B5" s="10">
        <v>2710</v>
      </c>
      <c r="C5" s="10">
        <v>1</v>
      </c>
      <c r="D5" s="10">
        <f t="shared" si="0"/>
        <v>2710</v>
      </c>
      <c r="E5" s="10"/>
      <c r="F5" s="10"/>
    </row>
    <row r="6" spans="1:6" x14ac:dyDescent="0.55000000000000004">
      <c r="A6" s="10" t="s">
        <v>457</v>
      </c>
      <c r="B6" s="10">
        <v>2787</v>
      </c>
      <c r="C6" s="10">
        <v>1</v>
      </c>
      <c r="D6" s="10">
        <f t="shared" si="0"/>
        <v>2787</v>
      </c>
      <c r="E6" s="10"/>
      <c r="F6" s="10"/>
    </row>
    <row r="7" spans="1:6" x14ac:dyDescent="0.55000000000000004">
      <c r="A7" s="10" t="s">
        <v>458</v>
      </c>
      <c r="B7" s="10">
        <v>97.2</v>
      </c>
      <c r="C7" s="10">
        <v>13</v>
      </c>
      <c r="D7" s="10">
        <f t="shared" si="0"/>
        <v>1263.6000000000001</v>
      </c>
      <c r="E7" s="10"/>
      <c r="F7" s="10"/>
    </row>
    <row r="8" spans="1:6" x14ac:dyDescent="0.55000000000000004">
      <c r="A8" s="10" t="s">
        <v>223</v>
      </c>
      <c r="B8" s="13">
        <v>224.1</v>
      </c>
      <c r="C8" s="13">
        <v>11</v>
      </c>
      <c r="D8" s="13">
        <f t="shared" ref="D8:D22" si="1">SUM(C8*B8)</f>
        <v>2465.1</v>
      </c>
      <c r="E8" s="10"/>
      <c r="F8" s="10"/>
    </row>
    <row r="9" spans="1:6" x14ac:dyDescent="0.55000000000000004">
      <c r="A9" s="10" t="s">
        <v>459</v>
      </c>
      <c r="B9" s="13">
        <v>134</v>
      </c>
      <c r="C9" s="13">
        <v>15</v>
      </c>
      <c r="D9" s="13">
        <f t="shared" si="1"/>
        <v>2010</v>
      </c>
      <c r="E9" s="10"/>
      <c r="F9" s="10"/>
    </row>
    <row r="10" spans="1:6" x14ac:dyDescent="0.55000000000000004">
      <c r="A10" s="10" t="s">
        <v>460</v>
      </c>
      <c r="B10" s="13">
        <v>286.2</v>
      </c>
      <c r="C10" s="13">
        <v>10</v>
      </c>
      <c r="D10" s="13">
        <f t="shared" si="1"/>
        <v>2862</v>
      </c>
      <c r="E10" s="10"/>
      <c r="F10" s="10"/>
    </row>
    <row r="11" spans="1:6" x14ac:dyDescent="0.55000000000000004">
      <c r="A11" s="10" t="s">
        <v>461</v>
      </c>
      <c r="B11" s="13">
        <v>91.08</v>
      </c>
      <c r="C11" s="13">
        <v>21</v>
      </c>
      <c r="D11" s="13">
        <f t="shared" si="1"/>
        <v>1912.68</v>
      </c>
      <c r="E11" s="10"/>
      <c r="F11" s="10"/>
    </row>
    <row r="12" spans="1:6" x14ac:dyDescent="0.55000000000000004">
      <c r="A12" s="10" t="s">
        <v>462</v>
      </c>
      <c r="B12" s="13">
        <v>88.51</v>
      </c>
      <c r="C12" s="13">
        <v>45</v>
      </c>
      <c r="D12" s="13">
        <f t="shared" si="1"/>
        <v>3982.9500000000003</v>
      </c>
      <c r="E12" s="10"/>
      <c r="F12" s="10"/>
    </row>
    <row r="13" spans="1:6" x14ac:dyDescent="0.55000000000000004">
      <c r="A13" s="10" t="s">
        <v>463</v>
      </c>
      <c r="B13" s="13">
        <v>93.6</v>
      </c>
      <c r="C13" s="13">
        <v>15</v>
      </c>
      <c r="D13" s="13">
        <f t="shared" si="1"/>
        <v>1404</v>
      </c>
      <c r="E13" s="10"/>
      <c r="F13" s="10"/>
    </row>
    <row r="14" spans="1:6" x14ac:dyDescent="0.55000000000000004">
      <c r="A14" s="10" t="s">
        <v>464</v>
      </c>
      <c r="B14" s="13">
        <v>96</v>
      </c>
      <c r="C14" s="13">
        <v>15</v>
      </c>
      <c r="D14" s="13">
        <f t="shared" si="1"/>
        <v>1440</v>
      </c>
      <c r="E14" s="10"/>
      <c r="F14" s="10"/>
    </row>
    <row r="15" spans="1:6" x14ac:dyDescent="0.55000000000000004">
      <c r="A15" s="10" t="s">
        <v>465</v>
      </c>
      <c r="B15" s="13">
        <v>121.6</v>
      </c>
      <c r="C15" s="13">
        <v>15</v>
      </c>
      <c r="D15" s="13">
        <f t="shared" si="1"/>
        <v>1824</v>
      </c>
      <c r="E15" s="10"/>
      <c r="F15" s="10"/>
    </row>
    <row r="16" spans="1:6" x14ac:dyDescent="0.55000000000000004">
      <c r="A16" s="10" t="s">
        <v>239</v>
      </c>
      <c r="B16" s="13">
        <v>115.2</v>
      </c>
      <c r="C16" s="13">
        <v>16</v>
      </c>
      <c r="D16" s="13">
        <f t="shared" si="1"/>
        <v>1843.2</v>
      </c>
      <c r="E16" s="10"/>
      <c r="F16" s="10"/>
    </row>
    <row r="17" spans="1:6" x14ac:dyDescent="0.55000000000000004">
      <c r="A17" s="10" t="s">
        <v>466</v>
      </c>
      <c r="B17" s="13">
        <v>210.6</v>
      </c>
      <c r="C17" s="13">
        <v>13</v>
      </c>
      <c r="D17" s="13">
        <f t="shared" si="1"/>
        <v>2737.7999999999997</v>
      </c>
      <c r="E17" s="10"/>
      <c r="F17" s="10"/>
    </row>
    <row r="18" spans="1:6" x14ac:dyDescent="0.55000000000000004">
      <c r="A18" s="10" t="s">
        <v>467</v>
      </c>
      <c r="B18" s="13">
        <v>60.8</v>
      </c>
      <c r="C18" s="13"/>
      <c r="D18" s="13">
        <f t="shared" si="1"/>
        <v>0</v>
      </c>
      <c r="E18" s="10"/>
      <c r="F18" s="10"/>
    </row>
    <row r="19" spans="1:6" x14ac:dyDescent="0.55000000000000004">
      <c r="A19" s="49" t="s">
        <v>468</v>
      </c>
      <c r="B19" s="50">
        <v>54.4</v>
      </c>
      <c r="C19" s="50"/>
      <c r="D19" s="50">
        <f t="shared" si="1"/>
        <v>0</v>
      </c>
      <c r="E19" s="10"/>
      <c r="F19" s="10"/>
    </row>
    <row r="20" spans="1:6" x14ac:dyDescent="0.55000000000000004">
      <c r="A20" s="46" t="s">
        <v>469</v>
      </c>
      <c r="B20" s="46">
        <v>127.4</v>
      </c>
      <c r="C20" s="46"/>
      <c r="D20" s="46">
        <f t="shared" si="1"/>
        <v>0</v>
      </c>
      <c r="E20" s="10"/>
      <c r="F20" s="10"/>
    </row>
    <row r="21" spans="1:6" x14ac:dyDescent="0.55000000000000004">
      <c r="A21" s="46" t="s">
        <v>470</v>
      </c>
      <c r="B21" s="46">
        <v>264.8</v>
      </c>
      <c r="C21" s="46">
        <v>10</v>
      </c>
      <c r="D21" s="46">
        <f t="shared" si="1"/>
        <v>2648</v>
      </c>
      <c r="E21" s="10"/>
      <c r="F21" s="10"/>
    </row>
    <row r="22" spans="1:6" x14ac:dyDescent="0.55000000000000004">
      <c r="A22" s="46" t="s">
        <v>471</v>
      </c>
      <c r="B22" s="46">
        <v>0.74</v>
      </c>
      <c r="C22" s="46">
        <v>1800</v>
      </c>
      <c r="D22" s="46">
        <f t="shared" si="1"/>
        <v>1332</v>
      </c>
      <c r="E22" s="10"/>
      <c r="F22" s="10"/>
    </row>
    <row r="23" spans="1:6" x14ac:dyDescent="0.55000000000000004">
      <c r="A23" s="10" t="s">
        <v>472</v>
      </c>
      <c r="B23" s="13">
        <v>1.22</v>
      </c>
      <c r="C23" s="13"/>
      <c r="D23" s="10">
        <f t="shared" si="0"/>
        <v>0</v>
      </c>
      <c r="E23" s="10"/>
      <c r="F23" s="10"/>
    </row>
    <row r="24" spans="1:6" x14ac:dyDescent="0.55000000000000004">
      <c r="A24" s="10"/>
      <c r="B24" s="13"/>
      <c r="C24" s="13"/>
      <c r="D24" s="10">
        <f t="shared" si="0"/>
        <v>0</v>
      </c>
      <c r="E24" s="10"/>
      <c r="F24" s="10"/>
    </row>
    <row r="25" spans="1:6" x14ac:dyDescent="0.55000000000000004">
      <c r="A25" s="10" t="s">
        <v>473</v>
      </c>
      <c r="B25" s="13">
        <v>55.2</v>
      </c>
      <c r="C25" s="13">
        <v>36</v>
      </c>
      <c r="D25" s="10">
        <f t="shared" si="0"/>
        <v>1987.2</v>
      </c>
      <c r="E25" s="10"/>
      <c r="F25" s="10"/>
    </row>
    <row r="26" spans="1:6" x14ac:dyDescent="0.55000000000000004">
      <c r="A26" s="10" t="s">
        <v>474</v>
      </c>
      <c r="B26" s="13">
        <v>58.8</v>
      </c>
      <c r="C26" s="13">
        <v>35</v>
      </c>
      <c r="D26" s="10">
        <f t="shared" si="0"/>
        <v>2058</v>
      </c>
      <c r="E26" s="10"/>
      <c r="F26" s="10"/>
    </row>
    <row r="27" spans="1:6" x14ac:dyDescent="0.55000000000000004">
      <c r="A27" s="10" t="s">
        <v>475</v>
      </c>
      <c r="B27" s="13">
        <v>48.6</v>
      </c>
      <c r="C27" s="13">
        <v>31</v>
      </c>
      <c r="D27" s="10">
        <f t="shared" si="0"/>
        <v>1506.6000000000001</v>
      </c>
      <c r="E27" s="10"/>
      <c r="F27" s="10"/>
    </row>
    <row r="28" spans="1:6" x14ac:dyDescent="0.55000000000000004">
      <c r="A28" s="10" t="s">
        <v>476</v>
      </c>
      <c r="B28" s="13">
        <v>54.2</v>
      </c>
      <c r="C28" s="13">
        <v>31</v>
      </c>
      <c r="D28" s="10">
        <f t="shared" si="0"/>
        <v>1680.2</v>
      </c>
      <c r="E28" s="10"/>
      <c r="F28" s="10"/>
    </row>
    <row r="29" spans="1:6" x14ac:dyDescent="0.55000000000000004">
      <c r="A29" s="10" t="s">
        <v>477</v>
      </c>
      <c r="B29" s="13">
        <v>73.7</v>
      </c>
      <c r="C29" s="13">
        <v>14</v>
      </c>
      <c r="D29" s="10">
        <f t="shared" si="0"/>
        <v>1031.8</v>
      </c>
      <c r="E29" s="10"/>
      <c r="F29" s="10"/>
    </row>
    <row r="30" spans="1:6" x14ac:dyDescent="0.55000000000000004">
      <c r="A30" s="10" t="s">
        <v>478</v>
      </c>
      <c r="B30" s="13">
        <v>48</v>
      </c>
      <c r="C30" s="13">
        <v>3</v>
      </c>
      <c r="D30" s="10">
        <f t="shared" si="0"/>
        <v>144</v>
      </c>
      <c r="E30" s="10" t="s">
        <v>479</v>
      </c>
      <c r="F30" s="10"/>
    </row>
    <row r="31" spans="1:6" x14ac:dyDescent="0.55000000000000004">
      <c r="A31" s="10" t="s">
        <v>480</v>
      </c>
      <c r="B31" s="13">
        <v>92.3</v>
      </c>
      <c r="C31" s="13">
        <v>3</v>
      </c>
      <c r="D31" s="10">
        <f t="shared" si="0"/>
        <v>276.89999999999998</v>
      </c>
      <c r="E31" s="10"/>
      <c r="F31" s="10"/>
    </row>
    <row r="32" spans="1:6" x14ac:dyDescent="0.55000000000000004">
      <c r="A32" s="10" t="s">
        <v>481</v>
      </c>
      <c r="B32" s="13"/>
      <c r="C32" s="13">
        <v>12</v>
      </c>
      <c r="D32" s="10">
        <f t="shared" si="0"/>
        <v>0</v>
      </c>
      <c r="E32" s="10"/>
      <c r="F32" s="10"/>
    </row>
    <row r="33" spans="1:6" x14ac:dyDescent="0.55000000000000004">
      <c r="A33" s="10" t="s">
        <v>482</v>
      </c>
      <c r="B33" s="13"/>
      <c r="C33" s="13">
        <v>14</v>
      </c>
      <c r="D33" s="10">
        <f t="shared" si="0"/>
        <v>0</v>
      </c>
      <c r="E33" s="10"/>
      <c r="F33" s="10"/>
    </row>
    <row r="34" spans="1:6" x14ac:dyDescent="0.55000000000000004">
      <c r="A34" s="10" t="s">
        <v>483</v>
      </c>
      <c r="B34" s="13">
        <v>55.74</v>
      </c>
      <c r="C34" s="13">
        <v>11</v>
      </c>
      <c r="D34" s="10">
        <f t="shared" si="0"/>
        <v>613.14</v>
      </c>
      <c r="E34" s="10"/>
      <c r="F34" s="10"/>
    </row>
    <row r="35" spans="1:6" x14ac:dyDescent="0.55000000000000004">
      <c r="A35" s="10" t="s">
        <v>484</v>
      </c>
      <c r="B35" s="13">
        <v>70.64</v>
      </c>
      <c r="C35" s="13">
        <v>10</v>
      </c>
      <c r="D35" s="10">
        <f t="shared" si="0"/>
        <v>706.4</v>
      </c>
      <c r="E35" s="10"/>
      <c r="F35" s="10"/>
    </row>
    <row r="36" spans="1:6" x14ac:dyDescent="0.55000000000000004">
      <c r="A36" s="10" t="s">
        <v>485</v>
      </c>
      <c r="B36" s="13">
        <v>399.5</v>
      </c>
      <c r="C36" s="13">
        <v>0</v>
      </c>
      <c r="D36" s="10">
        <f t="shared" si="0"/>
        <v>0</v>
      </c>
      <c r="E36" s="10"/>
      <c r="F36" s="10"/>
    </row>
    <row r="37" spans="1:6" x14ac:dyDescent="0.55000000000000004">
      <c r="A37" s="10" t="s">
        <v>486</v>
      </c>
      <c r="B37" s="13">
        <v>34.200000000000003</v>
      </c>
      <c r="C37" s="13">
        <v>30</v>
      </c>
      <c r="D37" s="10">
        <f t="shared" si="0"/>
        <v>1026</v>
      </c>
      <c r="E37" s="10"/>
      <c r="F37" s="10"/>
    </row>
    <row r="38" spans="1:6" hidden="1" x14ac:dyDescent="0.55000000000000004">
      <c r="A38" s="10"/>
      <c r="B38" s="10"/>
      <c r="C38" s="10"/>
      <c r="D38" s="10"/>
      <c r="E38" s="10"/>
      <c r="F38" s="10"/>
    </row>
    <row r="39" spans="1:6" x14ac:dyDescent="0.55000000000000004">
      <c r="A39" s="11"/>
      <c r="B39" s="11"/>
      <c r="C39" s="11"/>
      <c r="D39" s="11"/>
      <c r="E39" s="11"/>
      <c r="F39" s="11"/>
    </row>
    <row r="40" spans="1:6" x14ac:dyDescent="0.55000000000000004">
      <c r="A40" s="11"/>
      <c r="B40" s="11"/>
      <c r="C40" s="11"/>
      <c r="D40" s="11">
        <f>SUM(D2:D39)</f>
        <v>47610.07</v>
      </c>
      <c r="E40" s="11"/>
      <c r="F40" s="11"/>
    </row>
  </sheetData>
  <phoneticPr fontId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3F3A5-059D-4EEA-A751-B17CCD99962E}">
  <dimension ref="A1:K44"/>
  <sheetViews>
    <sheetView workbookViewId="0">
      <selection activeCell="A2" sqref="A2"/>
    </sheetView>
  </sheetViews>
  <sheetFormatPr defaultColWidth="8.83203125" defaultRowHeight="18" x14ac:dyDescent="0.55000000000000004"/>
  <cols>
    <col min="1" max="1" width="23.33203125" customWidth="1"/>
    <col min="2" max="2" width="12" customWidth="1"/>
    <col min="3" max="3" width="9.6640625" customWidth="1"/>
    <col min="4" max="4" width="9.5" customWidth="1"/>
    <col min="5" max="5" width="25.83203125" customWidth="1"/>
    <col min="6" max="6" width="13.83203125" customWidth="1"/>
    <col min="7" max="7" width="11.83203125" customWidth="1"/>
    <col min="8" max="8" width="12.83203125" customWidth="1"/>
  </cols>
  <sheetData>
    <row r="1" spans="1:11" ht="25.5" x14ac:dyDescent="0.55000000000000004">
      <c r="A1" s="65" t="s">
        <v>2</v>
      </c>
      <c r="B1" s="65"/>
      <c r="C1" s="65"/>
      <c r="D1" s="65"/>
      <c r="E1" s="65"/>
      <c r="F1" s="65"/>
      <c r="G1" s="66"/>
      <c r="H1" s="1"/>
      <c r="I1" s="1"/>
      <c r="J1" s="1"/>
    </row>
    <row r="2" spans="1:11" x14ac:dyDescent="0.55000000000000004">
      <c r="A2" s="3" t="s">
        <v>0</v>
      </c>
      <c r="B2" s="4" t="s">
        <v>3</v>
      </c>
      <c r="C2" s="4" t="s">
        <v>1</v>
      </c>
      <c r="D2" s="4" t="s">
        <v>4</v>
      </c>
      <c r="E2" s="3" t="s">
        <v>0</v>
      </c>
      <c r="F2" s="3" t="s">
        <v>3</v>
      </c>
      <c r="G2" s="3" t="s">
        <v>1</v>
      </c>
      <c r="H2" s="3" t="s">
        <v>4</v>
      </c>
    </row>
    <row r="3" spans="1:11" x14ac:dyDescent="0.55000000000000004">
      <c r="A3" s="10" t="s">
        <v>287</v>
      </c>
      <c r="B3" s="13">
        <v>383</v>
      </c>
      <c r="C3" s="20"/>
      <c r="D3" s="20">
        <f>SUM(C3*B3)</f>
        <v>0</v>
      </c>
      <c r="E3" s="9" t="s">
        <v>6</v>
      </c>
      <c r="F3" s="9">
        <v>1.44</v>
      </c>
      <c r="G3" s="18"/>
      <c r="H3" s="10">
        <f>SUM(G3*F3)</f>
        <v>0</v>
      </c>
    </row>
    <row r="4" spans="1:11" x14ac:dyDescent="0.35">
      <c r="A4" s="10" t="s">
        <v>288</v>
      </c>
      <c r="B4" s="13">
        <v>385</v>
      </c>
      <c r="C4" s="20">
        <v>5</v>
      </c>
      <c r="D4" s="20">
        <f t="shared" ref="D4:D38" si="0">SUM(C4*B4)</f>
        <v>1925</v>
      </c>
      <c r="E4" s="9" t="s">
        <v>289</v>
      </c>
      <c r="F4" s="9">
        <v>1.28</v>
      </c>
      <c r="G4" s="22"/>
      <c r="H4" s="10">
        <f t="shared" ref="H4:H38" si="1">SUM(G4*F4)</f>
        <v>0</v>
      </c>
    </row>
    <row r="5" spans="1:11" x14ac:dyDescent="0.35">
      <c r="A5" s="10" t="s">
        <v>290</v>
      </c>
      <c r="B5" s="13">
        <v>46</v>
      </c>
      <c r="C5" s="20"/>
      <c r="D5" s="20">
        <f t="shared" si="0"/>
        <v>0</v>
      </c>
      <c r="E5" s="9" t="s">
        <v>10</v>
      </c>
      <c r="F5" s="9">
        <v>4.0999999999999996</v>
      </c>
      <c r="G5" s="22"/>
      <c r="H5" s="10">
        <f t="shared" si="1"/>
        <v>0</v>
      </c>
    </row>
    <row r="6" spans="1:11" x14ac:dyDescent="0.35">
      <c r="A6" s="10" t="s">
        <v>291</v>
      </c>
      <c r="B6" s="13">
        <v>2.4500000000000002</v>
      </c>
      <c r="C6" s="20"/>
      <c r="D6" s="20">
        <f t="shared" si="0"/>
        <v>0</v>
      </c>
      <c r="E6" s="9" t="s">
        <v>12</v>
      </c>
      <c r="F6" s="9">
        <v>1.3</v>
      </c>
      <c r="G6" s="22"/>
      <c r="H6" s="10">
        <f t="shared" si="1"/>
        <v>0</v>
      </c>
    </row>
    <row r="7" spans="1:11" x14ac:dyDescent="0.35">
      <c r="A7" s="10" t="s">
        <v>292</v>
      </c>
      <c r="B7" s="13">
        <v>4.3</v>
      </c>
      <c r="C7" s="20"/>
      <c r="D7" s="20">
        <f t="shared" si="0"/>
        <v>0</v>
      </c>
      <c r="E7" s="9" t="s">
        <v>14</v>
      </c>
      <c r="F7" s="9">
        <v>6.26</v>
      </c>
      <c r="G7" s="22"/>
      <c r="H7" s="10">
        <f t="shared" si="1"/>
        <v>0</v>
      </c>
    </row>
    <row r="8" spans="1:11" x14ac:dyDescent="0.35">
      <c r="A8" s="10" t="s">
        <v>293</v>
      </c>
      <c r="B8" s="13">
        <v>0.22</v>
      </c>
      <c r="C8" s="20"/>
      <c r="D8" s="20">
        <f t="shared" si="0"/>
        <v>0</v>
      </c>
      <c r="E8" s="9" t="s">
        <v>16</v>
      </c>
      <c r="F8" s="9">
        <v>2.2000000000000002</v>
      </c>
      <c r="G8" s="22"/>
      <c r="H8" s="10">
        <f t="shared" si="1"/>
        <v>0</v>
      </c>
    </row>
    <row r="9" spans="1:11" x14ac:dyDescent="0.35">
      <c r="A9" s="10" t="s">
        <v>17</v>
      </c>
      <c r="B9" s="13">
        <v>361</v>
      </c>
      <c r="C9" s="20"/>
      <c r="D9" s="20">
        <f t="shared" si="0"/>
        <v>0</v>
      </c>
      <c r="E9" s="9" t="s">
        <v>18</v>
      </c>
      <c r="F9" s="9">
        <v>15</v>
      </c>
      <c r="G9" s="22"/>
      <c r="H9" s="10">
        <f t="shared" si="1"/>
        <v>0</v>
      </c>
    </row>
    <row r="10" spans="1:11" x14ac:dyDescent="0.35">
      <c r="A10" s="10" t="s">
        <v>19</v>
      </c>
      <c r="B10" s="13">
        <v>0.57999999999999996</v>
      </c>
      <c r="C10" s="20"/>
      <c r="D10" s="20">
        <f t="shared" si="0"/>
        <v>0</v>
      </c>
      <c r="E10" s="9" t="s">
        <v>20</v>
      </c>
      <c r="F10" s="9">
        <v>1</v>
      </c>
      <c r="G10" s="22"/>
      <c r="H10" s="10">
        <f t="shared" si="1"/>
        <v>0</v>
      </c>
    </row>
    <row r="11" spans="1:11" x14ac:dyDescent="0.35">
      <c r="A11" s="10" t="s">
        <v>21</v>
      </c>
      <c r="B11" s="13">
        <v>0.06</v>
      </c>
      <c r="C11" s="20"/>
      <c r="D11" s="20">
        <f t="shared" si="0"/>
        <v>0</v>
      </c>
      <c r="E11" s="9" t="s">
        <v>22</v>
      </c>
      <c r="F11" s="9">
        <v>0.81</v>
      </c>
      <c r="G11" s="22"/>
      <c r="H11" s="10">
        <f t="shared" si="1"/>
        <v>0</v>
      </c>
    </row>
    <row r="12" spans="1:11" x14ac:dyDescent="0.35">
      <c r="A12" s="10" t="s">
        <v>23</v>
      </c>
      <c r="B12" s="13">
        <v>1.21</v>
      </c>
      <c r="C12" s="20"/>
      <c r="D12" s="20">
        <f t="shared" si="0"/>
        <v>0</v>
      </c>
      <c r="E12" s="9" t="s">
        <v>24</v>
      </c>
      <c r="F12" s="9">
        <v>3.57</v>
      </c>
      <c r="G12" s="22"/>
      <c r="H12" s="10">
        <f t="shared" si="1"/>
        <v>0</v>
      </c>
      <c r="K12" s="6"/>
    </row>
    <row r="13" spans="1:11" x14ac:dyDescent="0.35">
      <c r="A13" s="10" t="s">
        <v>25</v>
      </c>
      <c r="B13" s="13">
        <v>0.36</v>
      </c>
      <c r="C13" s="20"/>
      <c r="D13" s="20">
        <f t="shared" si="0"/>
        <v>0</v>
      </c>
      <c r="E13" s="9" t="s">
        <v>26</v>
      </c>
      <c r="F13" s="9">
        <v>1.52</v>
      </c>
      <c r="G13" s="22"/>
      <c r="H13" s="10">
        <f t="shared" si="1"/>
        <v>0</v>
      </c>
    </row>
    <row r="14" spans="1:11" x14ac:dyDescent="0.35">
      <c r="A14" s="10" t="s">
        <v>27</v>
      </c>
      <c r="B14" s="13">
        <v>1.1000000000000001</v>
      </c>
      <c r="C14" s="20"/>
      <c r="D14" s="20">
        <f t="shared" si="0"/>
        <v>0</v>
      </c>
      <c r="E14" s="9" t="s">
        <v>28</v>
      </c>
      <c r="F14" s="9">
        <v>0.92</v>
      </c>
      <c r="G14" s="22"/>
      <c r="H14" s="10">
        <f t="shared" si="1"/>
        <v>0</v>
      </c>
    </row>
    <row r="15" spans="1:11" x14ac:dyDescent="0.35">
      <c r="A15" s="10" t="s">
        <v>29</v>
      </c>
      <c r="B15" s="13">
        <v>0.36</v>
      </c>
      <c r="C15" s="20"/>
      <c r="D15" s="20">
        <f t="shared" si="0"/>
        <v>0</v>
      </c>
      <c r="E15" s="9" t="s">
        <v>30</v>
      </c>
      <c r="F15" s="9">
        <v>2</v>
      </c>
      <c r="G15" s="22"/>
      <c r="H15" s="10">
        <f t="shared" si="1"/>
        <v>0</v>
      </c>
    </row>
    <row r="16" spans="1:11" x14ac:dyDescent="0.35">
      <c r="A16" s="10" t="s">
        <v>31</v>
      </c>
      <c r="B16" s="13">
        <v>0.14000000000000001</v>
      </c>
      <c r="C16" s="20"/>
      <c r="D16" s="20">
        <f t="shared" si="0"/>
        <v>0</v>
      </c>
      <c r="E16" s="9" t="s">
        <v>32</v>
      </c>
      <c r="F16" s="9">
        <v>1.92</v>
      </c>
      <c r="G16" s="22"/>
      <c r="H16" s="10">
        <f t="shared" si="1"/>
        <v>0</v>
      </c>
    </row>
    <row r="17" spans="1:8" x14ac:dyDescent="0.35">
      <c r="A17" s="10" t="s">
        <v>33</v>
      </c>
      <c r="B17" s="13">
        <v>0.36</v>
      </c>
      <c r="C17" s="20"/>
      <c r="D17" s="20">
        <f t="shared" si="0"/>
        <v>0</v>
      </c>
      <c r="E17" s="9" t="s">
        <v>34</v>
      </c>
      <c r="F17" s="9">
        <v>7.99</v>
      </c>
      <c r="G17" s="22"/>
      <c r="H17" s="10">
        <f t="shared" si="1"/>
        <v>0</v>
      </c>
    </row>
    <row r="18" spans="1:8" x14ac:dyDescent="0.35">
      <c r="A18" s="10" t="s">
        <v>294</v>
      </c>
      <c r="B18" s="13">
        <v>86</v>
      </c>
      <c r="C18" s="20"/>
      <c r="D18" s="20">
        <f t="shared" si="0"/>
        <v>0</v>
      </c>
      <c r="E18" s="9" t="s">
        <v>36</v>
      </c>
      <c r="F18" s="9">
        <v>60.2</v>
      </c>
      <c r="G18" s="22"/>
      <c r="H18" s="10">
        <f t="shared" si="1"/>
        <v>0</v>
      </c>
    </row>
    <row r="19" spans="1:8" x14ac:dyDescent="0.35">
      <c r="A19" s="10" t="s">
        <v>37</v>
      </c>
      <c r="B19" s="13">
        <v>0.72</v>
      </c>
      <c r="C19" s="20"/>
      <c r="D19" s="20">
        <f t="shared" si="0"/>
        <v>0</v>
      </c>
      <c r="E19" s="9" t="s">
        <v>38</v>
      </c>
      <c r="F19" s="9">
        <v>7.46</v>
      </c>
      <c r="G19" s="22"/>
      <c r="H19" s="10">
        <f t="shared" si="1"/>
        <v>0</v>
      </c>
    </row>
    <row r="20" spans="1:8" x14ac:dyDescent="0.35">
      <c r="A20" s="10" t="s">
        <v>39</v>
      </c>
      <c r="B20" s="13">
        <v>0.09</v>
      </c>
      <c r="C20" s="20"/>
      <c r="D20" s="20">
        <f t="shared" si="0"/>
        <v>0</v>
      </c>
      <c r="E20" s="9" t="s">
        <v>40</v>
      </c>
      <c r="F20" s="9">
        <v>34.659999999999997</v>
      </c>
      <c r="G20" s="22"/>
      <c r="H20" s="10">
        <f t="shared" si="1"/>
        <v>0</v>
      </c>
    </row>
    <row r="21" spans="1:8" x14ac:dyDescent="0.35">
      <c r="A21" s="10" t="s">
        <v>41</v>
      </c>
      <c r="B21" s="13">
        <v>0.09</v>
      </c>
      <c r="C21" s="20"/>
      <c r="D21" s="20">
        <f t="shared" si="0"/>
        <v>0</v>
      </c>
      <c r="E21" s="9" t="s">
        <v>10</v>
      </c>
      <c r="F21" s="9">
        <v>3.56</v>
      </c>
      <c r="G21" s="22"/>
      <c r="H21" s="10">
        <f t="shared" si="1"/>
        <v>0</v>
      </c>
    </row>
    <row r="22" spans="1:8" x14ac:dyDescent="0.35">
      <c r="A22" s="10" t="s">
        <v>487</v>
      </c>
      <c r="B22" s="13">
        <v>0.56000000000000005</v>
      </c>
      <c r="C22" s="20"/>
      <c r="D22" s="20">
        <f t="shared" si="0"/>
        <v>0</v>
      </c>
      <c r="E22" s="9" t="s">
        <v>43</v>
      </c>
      <c r="F22" s="9">
        <v>3.24</v>
      </c>
      <c r="G22" s="22"/>
      <c r="H22" s="10">
        <f t="shared" si="1"/>
        <v>0</v>
      </c>
    </row>
    <row r="23" spans="1:8" x14ac:dyDescent="0.35">
      <c r="A23" s="10" t="s">
        <v>44</v>
      </c>
      <c r="B23" s="13">
        <v>0.56000000000000005</v>
      </c>
      <c r="C23" s="20"/>
      <c r="D23" s="20">
        <f t="shared" si="0"/>
        <v>0</v>
      </c>
      <c r="E23" s="9" t="s">
        <v>45</v>
      </c>
      <c r="F23" s="9">
        <v>65.78</v>
      </c>
      <c r="G23" s="22"/>
      <c r="H23" s="10">
        <f t="shared" si="1"/>
        <v>0</v>
      </c>
    </row>
    <row r="24" spans="1:8" x14ac:dyDescent="0.35">
      <c r="A24" s="10" t="s">
        <v>46</v>
      </c>
      <c r="B24" s="13">
        <v>0.56000000000000005</v>
      </c>
      <c r="C24" s="20"/>
      <c r="D24" s="20">
        <f t="shared" si="0"/>
        <v>0</v>
      </c>
      <c r="E24" s="9" t="s">
        <v>47</v>
      </c>
      <c r="F24" s="9">
        <v>52.65</v>
      </c>
      <c r="G24" s="22"/>
      <c r="H24" s="10">
        <f t="shared" si="1"/>
        <v>0</v>
      </c>
    </row>
    <row r="25" spans="1:8" x14ac:dyDescent="0.35">
      <c r="A25" s="10" t="s">
        <v>48</v>
      </c>
      <c r="B25" s="13">
        <v>0.5</v>
      </c>
      <c r="C25" s="20"/>
      <c r="D25" s="20">
        <f t="shared" si="0"/>
        <v>0</v>
      </c>
      <c r="E25" s="9" t="s">
        <v>49</v>
      </c>
      <c r="F25" s="9">
        <v>77.55</v>
      </c>
      <c r="G25" s="22"/>
      <c r="H25" s="10">
        <f t="shared" si="1"/>
        <v>0</v>
      </c>
    </row>
    <row r="26" spans="1:8" x14ac:dyDescent="0.55000000000000004">
      <c r="A26" s="10" t="s">
        <v>50</v>
      </c>
      <c r="B26" s="13">
        <v>44.67</v>
      </c>
      <c r="C26" s="20"/>
      <c r="D26" s="20">
        <f t="shared" si="0"/>
        <v>0</v>
      </c>
      <c r="E26" s="9" t="s">
        <v>51</v>
      </c>
      <c r="F26" s="9">
        <v>58.54</v>
      </c>
      <c r="G26" s="18"/>
      <c r="H26" s="10">
        <f t="shared" si="1"/>
        <v>0</v>
      </c>
    </row>
    <row r="27" spans="1:8" x14ac:dyDescent="0.55000000000000004">
      <c r="A27" s="10" t="s">
        <v>296</v>
      </c>
      <c r="B27" s="13">
        <v>0.65</v>
      </c>
      <c r="C27" s="20"/>
      <c r="D27" s="20">
        <f t="shared" si="0"/>
        <v>0</v>
      </c>
      <c r="E27" s="9" t="s">
        <v>53</v>
      </c>
      <c r="F27" s="9">
        <v>2.89</v>
      </c>
      <c r="G27" s="18"/>
      <c r="H27" s="10">
        <f t="shared" si="1"/>
        <v>0</v>
      </c>
    </row>
    <row r="28" spans="1:8" x14ac:dyDescent="0.55000000000000004">
      <c r="A28" s="10" t="s">
        <v>54</v>
      </c>
      <c r="B28" s="13">
        <v>0.39</v>
      </c>
      <c r="C28" s="20"/>
      <c r="D28" s="20">
        <f t="shared" si="0"/>
        <v>0</v>
      </c>
      <c r="E28" s="9" t="s">
        <v>55</v>
      </c>
      <c r="F28" s="9">
        <v>2.0299999999999998</v>
      </c>
      <c r="G28" s="18"/>
      <c r="H28" s="10">
        <f t="shared" si="1"/>
        <v>0</v>
      </c>
    </row>
    <row r="29" spans="1:8" x14ac:dyDescent="0.55000000000000004">
      <c r="A29" s="10" t="s">
        <v>56</v>
      </c>
      <c r="B29" s="13">
        <v>138</v>
      </c>
      <c r="C29" s="20"/>
      <c r="D29" s="20">
        <f t="shared" si="0"/>
        <v>0</v>
      </c>
      <c r="E29" s="9" t="s">
        <v>57</v>
      </c>
      <c r="F29" s="9">
        <v>2</v>
      </c>
      <c r="G29" s="18"/>
      <c r="H29" s="10">
        <f t="shared" si="1"/>
        <v>0</v>
      </c>
    </row>
    <row r="30" spans="1:8" x14ac:dyDescent="0.55000000000000004">
      <c r="A30" s="10" t="s">
        <v>58</v>
      </c>
      <c r="B30" s="13">
        <v>1.71</v>
      </c>
      <c r="C30" s="20"/>
      <c r="D30" s="20">
        <f t="shared" si="0"/>
        <v>0</v>
      </c>
      <c r="E30" s="9" t="s">
        <v>59</v>
      </c>
      <c r="F30" s="9">
        <v>1.83</v>
      </c>
      <c r="G30" s="18"/>
      <c r="H30" s="10">
        <f t="shared" si="1"/>
        <v>0</v>
      </c>
    </row>
    <row r="31" spans="1:8" x14ac:dyDescent="0.55000000000000004">
      <c r="A31" s="10" t="s">
        <v>60</v>
      </c>
      <c r="B31" s="13">
        <v>2.67</v>
      </c>
      <c r="C31" s="20"/>
      <c r="D31" s="20">
        <f t="shared" si="0"/>
        <v>0</v>
      </c>
      <c r="E31" s="9" t="s">
        <v>61</v>
      </c>
      <c r="F31" s="9">
        <v>2.5099999999999998</v>
      </c>
      <c r="G31" s="18"/>
      <c r="H31" s="10">
        <f t="shared" si="1"/>
        <v>0</v>
      </c>
    </row>
    <row r="32" spans="1:8" x14ac:dyDescent="0.55000000000000004">
      <c r="A32" s="10" t="s">
        <v>62</v>
      </c>
      <c r="B32" s="13">
        <v>1.39</v>
      </c>
      <c r="C32" s="20"/>
      <c r="D32" s="20">
        <f t="shared" si="0"/>
        <v>0</v>
      </c>
      <c r="E32" s="9" t="s">
        <v>63</v>
      </c>
      <c r="F32" s="9">
        <v>92.78</v>
      </c>
      <c r="G32" s="18"/>
      <c r="H32" s="10">
        <f t="shared" si="1"/>
        <v>0</v>
      </c>
    </row>
    <row r="33" spans="1:8" x14ac:dyDescent="0.55000000000000004">
      <c r="A33" s="10" t="s">
        <v>64</v>
      </c>
      <c r="B33" s="13">
        <v>0.52</v>
      </c>
      <c r="C33" s="20"/>
      <c r="D33" s="20">
        <f t="shared" si="0"/>
        <v>0</v>
      </c>
      <c r="E33" s="9" t="s">
        <v>65</v>
      </c>
      <c r="F33" s="9">
        <v>0.81</v>
      </c>
      <c r="G33" s="18"/>
      <c r="H33" s="10">
        <f t="shared" si="1"/>
        <v>0</v>
      </c>
    </row>
    <row r="34" spans="1:8" x14ac:dyDescent="0.55000000000000004">
      <c r="A34" s="32" t="s">
        <v>66</v>
      </c>
      <c r="B34" s="24">
        <v>2082</v>
      </c>
      <c r="C34" s="20">
        <v>1</v>
      </c>
      <c r="D34" s="20">
        <f t="shared" si="0"/>
        <v>2082</v>
      </c>
      <c r="E34" s="9" t="s">
        <v>67</v>
      </c>
      <c r="F34" s="9">
        <v>2250</v>
      </c>
      <c r="G34" s="18">
        <v>1.5</v>
      </c>
      <c r="H34" s="10">
        <f t="shared" si="1"/>
        <v>3375</v>
      </c>
    </row>
    <row r="35" spans="1:8" x14ac:dyDescent="0.55000000000000004">
      <c r="A35" s="21" t="s">
        <v>299</v>
      </c>
      <c r="B35" s="24">
        <v>2.38</v>
      </c>
      <c r="C35" s="20"/>
      <c r="D35" s="20">
        <f t="shared" si="0"/>
        <v>0</v>
      </c>
      <c r="E35" s="9" t="s">
        <v>69</v>
      </c>
      <c r="F35" s="9">
        <v>1873</v>
      </c>
      <c r="G35" s="18">
        <v>4</v>
      </c>
      <c r="H35" s="10">
        <f t="shared" si="1"/>
        <v>7492</v>
      </c>
    </row>
    <row r="36" spans="1:8" x14ac:dyDescent="0.55000000000000004">
      <c r="A36" s="21" t="s">
        <v>70</v>
      </c>
      <c r="B36" s="24">
        <v>1.04</v>
      </c>
      <c r="C36" s="20"/>
      <c r="D36" s="20">
        <f t="shared" si="0"/>
        <v>0</v>
      </c>
      <c r="E36" s="9" t="s">
        <v>488</v>
      </c>
      <c r="F36" s="9">
        <v>1.1299999999999999</v>
      </c>
      <c r="G36" s="18"/>
      <c r="H36" s="10">
        <f t="shared" si="1"/>
        <v>0</v>
      </c>
    </row>
    <row r="37" spans="1:8" x14ac:dyDescent="0.55000000000000004">
      <c r="A37" s="32" t="s">
        <v>302</v>
      </c>
      <c r="B37" s="24">
        <v>2700</v>
      </c>
      <c r="C37" s="20">
        <v>5</v>
      </c>
      <c r="D37" s="20">
        <f t="shared" si="0"/>
        <v>13500</v>
      </c>
      <c r="E37" s="9" t="s">
        <v>73</v>
      </c>
      <c r="F37" s="9">
        <v>0.51</v>
      </c>
      <c r="G37" s="18"/>
      <c r="H37" s="10">
        <f t="shared" si="1"/>
        <v>0</v>
      </c>
    </row>
    <row r="38" spans="1:8" ht="19.5" customHeight="1" x14ac:dyDescent="0.55000000000000004">
      <c r="A38" s="34" t="s">
        <v>304</v>
      </c>
      <c r="B38" s="12">
        <v>1732</v>
      </c>
      <c r="C38" s="25">
        <v>6</v>
      </c>
      <c r="D38" s="20">
        <f t="shared" si="0"/>
        <v>10392</v>
      </c>
      <c r="E38" s="9" t="s">
        <v>75</v>
      </c>
      <c r="F38" s="9">
        <v>1.0900000000000001</v>
      </c>
      <c r="G38" s="26"/>
      <c r="H38" s="10">
        <f t="shared" si="1"/>
        <v>0</v>
      </c>
    </row>
    <row r="39" spans="1:8" ht="14.5" customHeight="1" x14ac:dyDescent="0.55000000000000004">
      <c r="A39" s="7"/>
      <c r="B39" s="7"/>
      <c r="C39" s="8"/>
      <c r="D39" s="8"/>
      <c r="E39" s="7"/>
      <c r="F39" s="7"/>
      <c r="G39" s="8"/>
    </row>
    <row r="40" spans="1:8" x14ac:dyDescent="0.55000000000000004">
      <c r="C40" s="6"/>
      <c r="D40" s="6"/>
      <c r="G40" s="6"/>
    </row>
    <row r="41" spans="1:8" x14ac:dyDescent="0.55000000000000004">
      <c r="D41" s="11">
        <f>SUM(D3:D38)</f>
        <v>27899</v>
      </c>
      <c r="G41" s="6"/>
      <c r="H41" s="11">
        <f>SUM(H3:H38)</f>
        <v>10867</v>
      </c>
    </row>
    <row r="42" spans="1:8" x14ac:dyDescent="0.55000000000000004">
      <c r="E42" s="10">
        <f>SUM(D41,H41)</f>
        <v>38766</v>
      </c>
      <c r="G42" s="6"/>
    </row>
    <row r="43" spans="1:8" x14ac:dyDescent="0.55000000000000004">
      <c r="G43" s="6"/>
    </row>
    <row r="44" spans="1:8" x14ac:dyDescent="0.55000000000000004">
      <c r="G44" s="6"/>
    </row>
  </sheetData>
  <mergeCells count="1">
    <mergeCell ref="A1:G1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B44DB-B538-424F-9406-5155B3A37F8D}">
  <dimension ref="A1:H41"/>
  <sheetViews>
    <sheetView zoomScaleNormal="100" workbookViewId="0">
      <selection activeCell="C20" sqref="C20"/>
    </sheetView>
  </sheetViews>
  <sheetFormatPr defaultColWidth="8.83203125" defaultRowHeight="18" x14ac:dyDescent="0.55000000000000004"/>
  <cols>
    <col min="1" max="1" width="27" customWidth="1"/>
    <col min="2" max="2" width="10.1640625" customWidth="1"/>
    <col min="3" max="3" width="11.83203125" customWidth="1"/>
    <col min="4" max="4" width="11.5" customWidth="1"/>
    <col min="5" max="5" width="22.1640625" customWidth="1"/>
    <col min="6" max="6" width="11.1640625" customWidth="1"/>
  </cols>
  <sheetData>
    <row r="1" spans="1:8" x14ac:dyDescent="0.55000000000000004">
      <c r="A1" s="3" t="s">
        <v>0</v>
      </c>
      <c r="B1" s="4" t="s">
        <v>3</v>
      </c>
      <c r="C1" s="4" t="s">
        <v>1</v>
      </c>
      <c r="D1" s="4" t="s">
        <v>4</v>
      </c>
      <c r="E1" s="3" t="s">
        <v>0</v>
      </c>
      <c r="F1" s="3" t="s">
        <v>3</v>
      </c>
      <c r="G1" s="3" t="s">
        <v>77</v>
      </c>
      <c r="H1" s="3" t="s">
        <v>4</v>
      </c>
    </row>
    <row r="2" spans="1:8" x14ac:dyDescent="0.55000000000000004">
      <c r="A2" s="21" t="s">
        <v>306</v>
      </c>
      <c r="B2" s="21">
        <v>1727</v>
      </c>
      <c r="C2" s="18"/>
      <c r="D2" s="18">
        <f>SUM(C2*B2)</f>
        <v>0</v>
      </c>
      <c r="E2" s="21" t="s">
        <v>307</v>
      </c>
      <c r="F2" s="18">
        <v>1038</v>
      </c>
      <c r="G2" s="10">
        <v>1.5</v>
      </c>
      <c r="H2" s="10">
        <f>SUM(G2*F2)</f>
        <v>1557</v>
      </c>
    </row>
    <row r="3" spans="1:8" x14ac:dyDescent="0.55000000000000004">
      <c r="A3" s="21" t="s">
        <v>308</v>
      </c>
      <c r="B3" s="21">
        <v>4850</v>
      </c>
      <c r="C3" s="18"/>
      <c r="D3" s="18">
        <f t="shared" ref="D3:D38" si="0">SUM(C3*B3)</f>
        <v>0</v>
      </c>
      <c r="E3" s="21" t="s">
        <v>309</v>
      </c>
      <c r="F3" s="18">
        <v>717</v>
      </c>
      <c r="G3" s="10">
        <v>3</v>
      </c>
      <c r="H3" s="10">
        <f t="shared" ref="H3:H38" si="1">SUM(G3*F3)</f>
        <v>2151</v>
      </c>
    </row>
    <row r="4" spans="1:8" x14ac:dyDescent="0.55000000000000004">
      <c r="A4" s="21" t="s">
        <v>489</v>
      </c>
      <c r="B4" s="21">
        <v>345</v>
      </c>
      <c r="C4" s="18">
        <v>3</v>
      </c>
      <c r="D4" s="18">
        <f t="shared" si="0"/>
        <v>1035</v>
      </c>
      <c r="E4" s="21" t="s">
        <v>310</v>
      </c>
      <c r="F4" s="18">
        <v>532</v>
      </c>
      <c r="G4" s="10"/>
      <c r="H4" s="10">
        <f t="shared" si="1"/>
        <v>0</v>
      </c>
    </row>
    <row r="5" spans="1:8" x14ac:dyDescent="0.55000000000000004">
      <c r="A5" s="21" t="s">
        <v>490</v>
      </c>
      <c r="B5" s="21">
        <v>1982</v>
      </c>
      <c r="C5" s="18">
        <v>1.5</v>
      </c>
      <c r="D5" s="18">
        <f t="shared" si="0"/>
        <v>2973</v>
      </c>
      <c r="E5" s="21" t="s">
        <v>491</v>
      </c>
      <c r="F5" s="18">
        <v>1119</v>
      </c>
      <c r="G5" s="10"/>
      <c r="H5" s="10">
        <f t="shared" si="1"/>
        <v>0</v>
      </c>
    </row>
    <row r="6" spans="1:8" x14ac:dyDescent="0.55000000000000004">
      <c r="A6" s="21" t="s">
        <v>492</v>
      </c>
      <c r="B6" s="21">
        <v>989</v>
      </c>
      <c r="C6" s="18">
        <v>3.5</v>
      </c>
      <c r="D6" s="18">
        <f t="shared" si="0"/>
        <v>3461.5</v>
      </c>
      <c r="E6" s="21" t="s">
        <v>493</v>
      </c>
      <c r="F6" s="18">
        <v>551</v>
      </c>
      <c r="G6" s="10"/>
      <c r="H6" s="10">
        <f t="shared" si="1"/>
        <v>0</v>
      </c>
    </row>
    <row r="7" spans="1:8" x14ac:dyDescent="0.55000000000000004">
      <c r="A7" s="21" t="s">
        <v>494</v>
      </c>
      <c r="B7" s="21">
        <v>3240</v>
      </c>
      <c r="C7" s="18">
        <v>2.5</v>
      </c>
      <c r="D7" s="18">
        <f t="shared" si="0"/>
        <v>8100</v>
      </c>
      <c r="E7" s="21" t="s">
        <v>316</v>
      </c>
      <c r="F7" s="18">
        <v>372</v>
      </c>
      <c r="G7" s="10">
        <v>5</v>
      </c>
      <c r="H7" s="10">
        <f t="shared" si="1"/>
        <v>1860</v>
      </c>
    </row>
    <row r="8" spans="1:8" x14ac:dyDescent="0.55000000000000004">
      <c r="A8" s="21" t="s">
        <v>495</v>
      </c>
      <c r="B8" s="21">
        <v>1142</v>
      </c>
      <c r="C8" s="18">
        <v>0.5</v>
      </c>
      <c r="D8" s="18">
        <f t="shared" si="0"/>
        <v>571</v>
      </c>
      <c r="E8" s="21" t="s">
        <v>91</v>
      </c>
      <c r="F8" s="18">
        <v>0.61</v>
      </c>
      <c r="G8" s="10"/>
      <c r="H8" s="10">
        <f t="shared" si="1"/>
        <v>0</v>
      </c>
    </row>
    <row r="9" spans="1:8" x14ac:dyDescent="0.55000000000000004">
      <c r="A9" s="21" t="s">
        <v>496</v>
      </c>
      <c r="B9" s="21">
        <v>805</v>
      </c>
      <c r="C9" s="18">
        <v>1.5</v>
      </c>
      <c r="D9" s="18">
        <f t="shared" si="0"/>
        <v>1207.5</v>
      </c>
      <c r="E9" s="21" t="s">
        <v>319</v>
      </c>
      <c r="F9" s="18">
        <v>2510</v>
      </c>
      <c r="G9" s="10"/>
      <c r="H9" s="10">
        <f t="shared" si="1"/>
        <v>0</v>
      </c>
    </row>
    <row r="10" spans="1:8" x14ac:dyDescent="0.55000000000000004">
      <c r="A10" s="21" t="s">
        <v>94</v>
      </c>
      <c r="B10" s="21">
        <v>918</v>
      </c>
      <c r="C10" s="18">
        <v>2.5</v>
      </c>
      <c r="D10" s="18">
        <f t="shared" si="0"/>
        <v>2295</v>
      </c>
      <c r="E10" s="21" t="s">
        <v>320</v>
      </c>
      <c r="F10" s="18">
        <v>812</v>
      </c>
      <c r="G10" s="10"/>
      <c r="H10" s="10">
        <f t="shared" si="1"/>
        <v>0</v>
      </c>
    </row>
    <row r="11" spans="1:8" x14ac:dyDescent="0.55000000000000004">
      <c r="A11" s="21" t="s">
        <v>96</v>
      </c>
      <c r="B11" s="21">
        <v>1210</v>
      </c>
      <c r="C11" s="18">
        <v>3.5</v>
      </c>
      <c r="D11" s="18">
        <f t="shared" si="0"/>
        <v>4235</v>
      </c>
      <c r="E11" s="21" t="s">
        <v>321</v>
      </c>
      <c r="F11" s="18">
        <v>228</v>
      </c>
      <c r="G11" s="10"/>
      <c r="H11" s="10">
        <f t="shared" si="1"/>
        <v>0</v>
      </c>
    </row>
    <row r="12" spans="1:8" x14ac:dyDescent="0.55000000000000004">
      <c r="A12" s="21" t="s">
        <v>497</v>
      </c>
      <c r="B12" s="21">
        <v>1025</v>
      </c>
      <c r="C12" s="18">
        <v>2.5</v>
      </c>
      <c r="D12" s="18">
        <f t="shared" si="0"/>
        <v>2562.5</v>
      </c>
      <c r="E12" s="21" t="s">
        <v>323</v>
      </c>
      <c r="F12" s="18">
        <v>400</v>
      </c>
      <c r="G12" s="10">
        <v>1</v>
      </c>
      <c r="H12" s="10">
        <f t="shared" si="1"/>
        <v>400</v>
      </c>
    </row>
    <row r="13" spans="1:8" x14ac:dyDescent="0.55000000000000004">
      <c r="A13" s="21" t="s">
        <v>100</v>
      </c>
      <c r="B13" s="21">
        <v>627</v>
      </c>
      <c r="C13" s="18">
        <v>3</v>
      </c>
      <c r="D13" s="18">
        <f t="shared" si="0"/>
        <v>1881</v>
      </c>
      <c r="E13" s="21" t="s">
        <v>324</v>
      </c>
      <c r="F13" s="18">
        <v>968</v>
      </c>
      <c r="G13" s="10"/>
      <c r="H13" s="10">
        <f t="shared" si="1"/>
        <v>0</v>
      </c>
    </row>
    <row r="14" spans="1:8" x14ac:dyDescent="0.55000000000000004">
      <c r="A14" s="21" t="s">
        <v>498</v>
      </c>
      <c r="B14" s="21">
        <v>752</v>
      </c>
      <c r="C14" s="18">
        <v>3.5</v>
      </c>
      <c r="D14" s="18">
        <f t="shared" si="0"/>
        <v>2632</v>
      </c>
      <c r="E14" s="21" t="s">
        <v>326</v>
      </c>
      <c r="F14" s="18">
        <v>2154</v>
      </c>
      <c r="G14" s="10">
        <v>3</v>
      </c>
      <c r="H14" s="10">
        <f t="shared" si="1"/>
        <v>6462</v>
      </c>
    </row>
    <row r="15" spans="1:8" x14ac:dyDescent="0.55000000000000004">
      <c r="A15" s="21" t="s">
        <v>499</v>
      </c>
      <c r="B15" s="21">
        <v>395</v>
      </c>
      <c r="C15" s="18">
        <v>1</v>
      </c>
      <c r="D15" s="18">
        <f t="shared" si="0"/>
        <v>395</v>
      </c>
      <c r="E15" s="21" t="s">
        <v>500</v>
      </c>
      <c r="F15" s="18">
        <v>451</v>
      </c>
      <c r="G15" s="10">
        <v>3</v>
      </c>
      <c r="H15" s="10">
        <f t="shared" si="1"/>
        <v>1353</v>
      </c>
    </row>
    <row r="16" spans="1:8" x14ac:dyDescent="0.55000000000000004">
      <c r="A16" s="21" t="s">
        <v>501</v>
      </c>
      <c r="B16" s="21">
        <v>972</v>
      </c>
      <c r="C16" s="18">
        <v>6.5</v>
      </c>
      <c r="D16" s="18">
        <f t="shared" si="0"/>
        <v>6318</v>
      </c>
      <c r="E16" s="21" t="s">
        <v>107</v>
      </c>
      <c r="F16" s="18">
        <v>0.59</v>
      </c>
      <c r="G16" s="10"/>
      <c r="H16" s="10">
        <f t="shared" si="1"/>
        <v>0</v>
      </c>
    </row>
    <row r="17" spans="1:8" x14ac:dyDescent="0.55000000000000004">
      <c r="A17" s="21" t="s">
        <v>502</v>
      </c>
      <c r="B17" s="21">
        <v>1015</v>
      </c>
      <c r="C17" s="18">
        <v>1</v>
      </c>
      <c r="D17" s="18">
        <f t="shared" si="0"/>
        <v>1015</v>
      </c>
      <c r="E17" s="21" t="s">
        <v>109</v>
      </c>
      <c r="F17" s="18">
        <v>3.23</v>
      </c>
      <c r="G17" s="10"/>
      <c r="H17" s="10">
        <f t="shared" si="1"/>
        <v>0</v>
      </c>
    </row>
    <row r="18" spans="1:8" x14ac:dyDescent="0.55000000000000004">
      <c r="A18" s="21" t="s">
        <v>330</v>
      </c>
      <c r="B18" s="21">
        <v>893</v>
      </c>
      <c r="C18" s="18">
        <v>0.5</v>
      </c>
      <c r="D18" s="18">
        <f t="shared" si="0"/>
        <v>446.5</v>
      </c>
      <c r="E18" s="21" t="s">
        <v>111</v>
      </c>
      <c r="F18" s="18">
        <v>2.96</v>
      </c>
      <c r="G18" s="10"/>
      <c r="H18" s="10">
        <f t="shared" si="1"/>
        <v>0</v>
      </c>
    </row>
    <row r="19" spans="1:8" x14ac:dyDescent="0.55000000000000004">
      <c r="A19" s="21" t="s">
        <v>503</v>
      </c>
      <c r="B19" s="21">
        <v>1020</v>
      </c>
      <c r="C19" s="18">
        <v>2</v>
      </c>
      <c r="D19" s="18">
        <f t="shared" si="0"/>
        <v>2040</v>
      </c>
      <c r="E19" s="21" t="s">
        <v>504</v>
      </c>
      <c r="F19" s="18">
        <v>9.75</v>
      </c>
      <c r="G19" s="10"/>
      <c r="H19" s="10">
        <f t="shared" si="1"/>
        <v>0</v>
      </c>
    </row>
    <row r="20" spans="1:8" x14ac:dyDescent="0.55000000000000004">
      <c r="A20" s="21" t="s">
        <v>114</v>
      </c>
      <c r="B20" s="21">
        <v>569</v>
      </c>
      <c r="C20" s="18">
        <v>4</v>
      </c>
      <c r="D20" s="18">
        <f t="shared" si="0"/>
        <v>2276</v>
      </c>
      <c r="E20" s="21" t="s">
        <v>505</v>
      </c>
      <c r="F20" s="18">
        <v>1668</v>
      </c>
      <c r="G20" s="10"/>
      <c r="H20" s="10">
        <f t="shared" si="1"/>
        <v>0</v>
      </c>
    </row>
    <row r="21" spans="1:8" x14ac:dyDescent="0.55000000000000004">
      <c r="A21" s="21" t="s">
        <v>116</v>
      </c>
      <c r="B21" s="21">
        <v>2.27</v>
      </c>
      <c r="C21" s="18"/>
      <c r="D21" s="18">
        <f t="shared" si="0"/>
        <v>0</v>
      </c>
      <c r="E21" s="21" t="s">
        <v>117</v>
      </c>
      <c r="F21" s="18">
        <v>54.45</v>
      </c>
      <c r="G21" s="10"/>
      <c r="H21" s="10">
        <f t="shared" si="1"/>
        <v>0</v>
      </c>
    </row>
    <row r="22" spans="1:8" x14ac:dyDescent="0.55000000000000004">
      <c r="A22" s="21" t="s">
        <v>118</v>
      </c>
      <c r="B22" s="21">
        <v>1128</v>
      </c>
      <c r="C22" s="18">
        <v>0.5</v>
      </c>
      <c r="D22" s="18">
        <f t="shared" si="0"/>
        <v>564</v>
      </c>
      <c r="E22" s="21" t="s">
        <v>506</v>
      </c>
      <c r="F22" s="18">
        <v>1387</v>
      </c>
      <c r="G22" s="10"/>
      <c r="H22" s="10">
        <f t="shared" si="1"/>
        <v>0</v>
      </c>
    </row>
    <row r="23" spans="1:8" x14ac:dyDescent="0.55000000000000004">
      <c r="A23" s="21" t="s">
        <v>120</v>
      </c>
      <c r="B23" s="21">
        <v>17.18</v>
      </c>
      <c r="C23" s="18"/>
      <c r="D23" s="18">
        <f t="shared" si="0"/>
        <v>0</v>
      </c>
      <c r="E23" s="21" t="s">
        <v>333</v>
      </c>
      <c r="F23" s="18">
        <v>1363</v>
      </c>
      <c r="G23" s="10">
        <v>1</v>
      </c>
      <c r="H23" s="10">
        <f t="shared" si="1"/>
        <v>1363</v>
      </c>
    </row>
    <row r="24" spans="1:8" x14ac:dyDescent="0.55000000000000004">
      <c r="A24" s="21" t="s">
        <v>507</v>
      </c>
      <c r="B24" s="21">
        <v>1310</v>
      </c>
      <c r="C24" s="18"/>
      <c r="D24" s="18">
        <f t="shared" si="0"/>
        <v>0</v>
      </c>
      <c r="E24" s="21" t="s">
        <v>335</v>
      </c>
      <c r="F24" s="18">
        <v>1038</v>
      </c>
      <c r="G24" s="10">
        <v>2</v>
      </c>
      <c r="H24" s="10">
        <f t="shared" si="1"/>
        <v>2076</v>
      </c>
    </row>
    <row r="25" spans="1:8" x14ac:dyDescent="0.55000000000000004">
      <c r="A25" s="21" t="s">
        <v>124</v>
      </c>
      <c r="B25" s="21">
        <v>629</v>
      </c>
      <c r="C25" s="18">
        <v>1</v>
      </c>
      <c r="D25" s="18">
        <f t="shared" si="0"/>
        <v>629</v>
      </c>
      <c r="E25" s="21" t="s">
        <v>125</v>
      </c>
      <c r="F25" s="18">
        <v>3.73</v>
      </c>
      <c r="G25" s="10"/>
      <c r="H25" s="10">
        <f t="shared" si="1"/>
        <v>0</v>
      </c>
    </row>
    <row r="26" spans="1:8" x14ac:dyDescent="0.55000000000000004">
      <c r="A26" s="21" t="s">
        <v>126</v>
      </c>
      <c r="B26" s="21">
        <v>1.78</v>
      </c>
      <c r="C26" s="18"/>
      <c r="D26" s="18">
        <f t="shared" si="0"/>
        <v>0</v>
      </c>
      <c r="E26" s="21" t="s">
        <v>508</v>
      </c>
      <c r="F26" s="18">
        <v>943</v>
      </c>
      <c r="G26" s="10"/>
      <c r="H26" s="10">
        <f t="shared" si="1"/>
        <v>0</v>
      </c>
    </row>
    <row r="27" spans="1:8" x14ac:dyDescent="0.55000000000000004">
      <c r="A27" s="21" t="s">
        <v>509</v>
      </c>
      <c r="B27" s="21">
        <v>518</v>
      </c>
      <c r="C27" s="18">
        <v>3</v>
      </c>
      <c r="D27" s="18">
        <f t="shared" si="0"/>
        <v>1554</v>
      </c>
      <c r="E27" s="21" t="s">
        <v>129</v>
      </c>
      <c r="F27" s="18">
        <v>6.81</v>
      </c>
      <c r="G27" s="10"/>
      <c r="H27" s="10">
        <f t="shared" si="1"/>
        <v>0</v>
      </c>
    </row>
    <row r="28" spans="1:8" x14ac:dyDescent="0.55000000000000004">
      <c r="A28" s="21" t="s">
        <v>130</v>
      </c>
      <c r="B28" s="21">
        <v>0.25</v>
      </c>
      <c r="C28" s="18"/>
      <c r="D28" s="18">
        <f t="shared" si="0"/>
        <v>0</v>
      </c>
      <c r="E28" s="21" t="s">
        <v>337</v>
      </c>
      <c r="F28" s="18">
        <v>1310</v>
      </c>
      <c r="G28" s="10">
        <v>1</v>
      </c>
      <c r="H28" s="10">
        <f t="shared" si="1"/>
        <v>1310</v>
      </c>
    </row>
    <row r="29" spans="1:8" x14ac:dyDescent="0.55000000000000004">
      <c r="A29" s="21" t="s">
        <v>510</v>
      </c>
      <c r="B29" s="21">
        <v>849</v>
      </c>
      <c r="C29" s="18">
        <v>1</v>
      </c>
      <c r="D29" s="18">
        <f t="shared" si="0"/>
        <v>849</v>
      </c>
      <c r="E29" s="21" t="s">
        <v>511</v>
      </c>
      <c r="F29" s="18">
        <v>531</v>
      </c>
      <c r="G29" s="10"/>
      <c r="H29" s="10">
        <f t="shared" si="1"/>
        <v>0</v>
      </c>
    </row>
    <row r="30" spans="1:8" x14ac:dyDescent="0.55000000000000004">
      <c r="A30" s="21" t="s">
        <v>134</v>
      </c>
      <c r="B30" s="21">
        <v>1363</v>
      </c>
      <c r="C30" s="18">
        <v>1</v>
      </c>
      <c r="D30" s="18">
        <f t="shared" si="0"/>
        <v>1363</v>
      </c>
      <c r="E30" s="21" t="s">
        <v>135</v>
      </c>
      <c r="F30" s="18"/>
      <c r="G30" s="10"/>
      <c r="H30" s="10">
        <f t="shared" si="1"/>
        <v>0</v>
      </c>
    </row>
    <row r="31" spans="1:8" x14ac:dyDescent="0.55000000000000004">
      <c r="A31" s="21" t="s">
        <v>512</v>
      </c>
      <c r="B31" s="21">
        <v>2655</v>
      </c>
      <c r="C31" s="18"/>
      <c r="D31" s="18">
        <f t="shared" si="0"/>
        <v>0</v>
      </c>
      <c r="E31" s="21" t="s">
        <v>513</v>
      </c>
      <c r="F31" s="18">
        <v>1369</v>
      </c>
      <c r="G31" s="10"/>
      <c r="H31" s="10">
        <f t="shared" si="1"/>
        <v>0</v>
      </c>
    </row>
    <row r="32" spans="1:8" x14ac:dyDescent="0.55000000000000004">
      <c r="A32" s="21" t="s">
        <v>514</v>
      </c>
      <c r="B32" s="21">
        <v>1800</v>
      </c>
      <c r="C32" s="18"/>
      <c r="D32" s="18">
        <f t="shared" si="0"/>
        <v>0</v>
      </c>
      <c r="E32" s="21" t="s">
        <v>515</v>
      </c>
      <c r="F32" s="18">
        <v>795</v>
      </c>
      <c r="G32" s="10"/>
      <c r="H32" s="10">
        <f t="shared" si="1"/>
        <v>0</v>
      </c>
    </row>
    <row r="33" spans="1:8" x14ac:dyDescent="0.55000000000000004">
      <c r="A33" s="21" t="s">
        <v>516</v>
      </c>
      <c r="B33" s="21">
        <v>850</v>
      </c>
      <c r="C33" s="18">
        <v>1</v>
      </c>
      <c r="D33" s="18">
        <f t="shared" si="0"/>
        <v>850</v>
      </c>
      <c r="E33" s="21" t="s">
        <v>141</v>
      </c>
      <c r="F33" s="18"/>
      <c r="G33" s="10"/>
      <c r="H33" s="10">
        <f t="shared" si="1"/>
        <v>0</v>
      </c>
    </row>
    <row r="34" spans="1:8" x14ac:dyDescent="0.55000000000000004">
      <c r="A34" s="21" t="s">
        <v>517</v>
      </c>
      <c r="B34" s="21">
        <v>1290</v>
      </c>
      <c r="C34" s="18"/>
      <c r="D34" s="18">
        <f t="shared" si="0"/>
        <v>0</v>
      </c>
      <c r="E34" s="21" t="s">
        <v>518</v>
      </c>
      <c r="F34" s="18">
        <v>709</v>
      </c>
      <c r="G34" s="10"/>
      <c r="H34" s="10">
        <f t="shared" si="1"/>
        <v>0</v>
      </c>
    </row>
    <row r="35" spans="1:8" x14ac:dyDescent="0.55000000000000004">
      <c r="A35" s="21" t="s">
        <v>144</v>
      </c>
      <c r="B35" s="21">
        <v>1077</v>
      </c>
      <c r="C35" s="18">
        <v>3</v>
      </c>
      <c r="D35" s="18">
        <f t="shared" si="0"/>
        <v>3231</v>
      </c>
      <c r="E35" s="21" t="s">
        <v>519</v>
      </c>
      <c r="F35" s="18">
        <v>2084</v>
      </c>
      <c r="G35" s="10">
        <v>0.5</v>
      </c>
      <c r="H35" s="10">
        <f t="shared" si="1"/>
        <v>1042</v>
      </c>
    </row>
    <row r="36" spans="1:8" x14ac:dyDescent="0.55000000000000004">
      <c r="A36" s="21" t="s">
        <v>520</v>
      </c>
      <c r="B36" s="21">
        <v>1135</v>
      </c>
      <c r="C36" s="18"/>
      <c r="D36" s="18">
        <f t="shared" si="0"/>
        <v>0</v>
      </c>
      <c r="E36" s="21" t="s">
        <v>147</v>
      </c>
      <c r="F36" s="18"/>
      <c r="G36" s="10"/>
      <c r="H36" s="10">
        <f t="shared" si="1"/>
        <v>0</v>
      </c>
    </row>
    <row r="37" spans="1:8" x14ac:dyDescent="0.55000000000000004">
      <c r="A37" s="21" t="s">
        <v>345</v>
      </c>
      <c r="B37" s="21">
        <v>17.18</v>
      </c>
      <c r="C37" s="18"/>
      <c r="D37" s="18">
        <f t="shared" si="0"/>
        <v>0</v>
      </c>
      <c r="E37" s="21" t="s">
        <v>521</v>
      </c>
      <c r="F37" s="18">
        <v>900</v>
      </c>
      <c r="G37" s="10"/>
      <c r="H37" s="10">
        <f t="shared" si="1"/>
        <v>0</v>
      </c>
    </row>
    <row r="38" spans="1:8" x14ac:dyDescent="0.55000000000000004">
      <c r="A38" s="21" t="s">
        <v>347</v>
      </c>
      <c r="B38" s="21">
        <v>1165</v>
      </c>
      <c r="C38" s="18">
        <v>1.5</v>
      </c>
      <c r="D38" s="18">
        <f t="shared" si="0"/>
        <v>1747.5</v>
      </c>
      <c r="E38" s="10"/>
      <c r="F38" s="18"/>
      <c r="G38" s="10"/>
      <c r="H38" s="10">
        <f t="shared" si="1"/>
        <v>0</v>
      </c>
    </row>
    <row r="40" spans="1:8" x14ac:dyDescent="0.55000000000000004">
      <c r="D40" s="23">
        <f>SUM(D2:D38)</f>
        <v>54231.5</v>
      </c>
      <c r="H40" s="11">
        <f>SUM(H2:H38)</f>
        <v>19574</v>
      </c>
    </row>
    <row r="41" spans="1:8" x14ac:dyDescent="0.55000000000000004">
      <c r="E41" s="10">
        <f>SUM(D40,H40)</f>
        <v>73805.5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805D-5FC8-4F5B-AEB8-97899821FB47}">
  <dimension ref="A1:L41"/>
  <sheetViews>
    <sheetView zoomScaleNormal="100" workbookViewId="0">
      <selection activeCell="E8" sqref="E8"/>
    </sheetView>
  </sheetViews>
  <sheetFormatPr defaultColWidth="8.83203125" defaultRowHeight="18" x14ac:dyDescent="0.55000000000000004"/>
  <cols>
    <col min="1" max="1" width="23.1640625" customWidth="1"/>
    <col min="2" max="2" width="11.1640625" customWidth="1"/>
    <col min="3" max="3" width="11.6640625" customWidth="1"/>
    <col min="4" max="4" width="12.33203125" customWidth="1"/>
    <col min="5" max="5" width="21.6640625" customWidth="1"/>
    <col min="6" max="6" width="11.1640625" customWidth="1"/>
    <col min="7" max="7" width="13.33203125" customWidth="1"/>
    <col min="8" max="8" width="9.33203125" bestFit="1" customWidth="1"/>
  </cols>
  <sheetData>
    <row r="1" spans="1:12" x14ac:dyDescent="0.55000000000000004">
      <c r="A1" s="3" t="s">
        <v>0</v>
      </c>
      <c r="B1" s="4" t="s">
        <v>3</v>
      </c>
      <c r="C1" s="4" t="s">
        <v>1</v>
      </c>
      <c r="D1" s="4" t="s">
        <v>4</v>
      </c>
      <c r="E1" s="3" t="s">
        <v>0</v>
      </c>
      <c r="F1" s="3" t="s">
        <v>3</v>
      </c>
      <c r="G1" s="3" t="s">
        <v>1</v>
      </c>
      <c r="H1" s="3" t="s">
        <v>4</v>
      </c>
    </row>
    <row r="2" spans="1:12" x14ac:dyDescent="0.55000000000000004">
      <c r="A2" s="21" t="s">
        <v>348</v>
      </c>
      <c r="B2" s="21">
        <v>21.28</v>
      </c>
      <c r="C2" s="18"/>
      <c r="D2" s="18">
        <f>SUM(C2*B2)</f>
        <v>0</v>
      </c>
      <c r="E2" s="10" t="s">
        <v>522</v>
      </c>
      <c r="F2" s="10">
        <v>52.6</v>
      </c>
      <c r="G2" s="18"/>
      <c r="H2" s="10">
        <f>SUM(G2*F2)</f>
        <v>0</v>
      </c>
    </row>
    <row r="3" spans="1:12" x14ac:dyDescent="0.55000000000000004">
      <c r="A3" s="21" t="s">
        <v>154</v>
      </c>
      <c r="B3" s="21">
        <v>64.8</v>
      </c>
      <c r="C3" s="18"/>
      <c r="D3" s="18">
        <f t="shared" ref="D3:D38" si="0">SUM(C3*B3)</f>
        <v>0</v>
      </c>
      <c r="E3" s="10" t="s">
        <v>350</v>
      </c>
      <c r="F3" s="10">
        <v>0.4</v>
      </c>
      <c r="G3" s="18"/>
      <c r="H3" s="10">
        <f>SUM(G3*F3)</f>
        <v>0</v>
      </c>
    </row>
    <row r="4" spans="1:12" x14ac:dyDescent="0.55000000000000004">
      <c r="A4" s="21" t="s">
        <v>156</v>
      </c>
      <c r="B4" s="21">
        <v>0.87</v>
      </c>
      <c r="C4" s="18"/>
      <c r="D4" s="18">
        <f t="shared" si="0"/>
        <v>0</v>
      </c>
      <c r="E4" s="10" t="s">
        <v>157</v>
      </c>
      <c r="F4" s="10">
        <v>0.7</v>
      </c>
      <c r="G4" s="18"/>
      <c r="H4" s="10">
        <f t="shared" ref="H4:H38" si="1">SUM(G4*F4)</f>
        <v>0</v>
      </c>
    </row>
    <row r="5" spans="1:12" x14ac:dyDescent="0.55000000000000004">
      <c r="A5" s="21" t="s">
        <v>158</v>
      </c>
      <c r="B5" s="21">
        <v>105.84</v>
      </c>
      <c r="C5" s="18"/>
      <c r="D5" s="18">
        <f t="shared" si="0"/>
        <v>0</v>
      </c>
      <c r="E5" s="10" t="s">
        <v>159</v>
      </c>
      <c r="F5" s="10">
        <v>3.15</v>
      </c>
      <c r="G5" s="18"/>
      <c r="H5" s="10">
        <f t="shared" si="1"/>
        <v>0</v>
      </c>
    </row>
    <row r="6" spans="1:12" x14ac:dyDescent="0.55000000000000004">
      <c r="A6" s="21" t="s">
        <v>352</v>
      </c>
      <c r="B6" s="21">
        <v>1.95</v>
      </c>
      <c r="C6" s="18"/>
      <c r="D6" s="18">
        <f t="shared" si="0"/>
        <v>0</v>
      </c>
      <c r="E6" s="10" t="s">
        <v>161</v>
      </c>
      <c r="F6" s="10">
        <v>1.54</v>
      </c>
      <c r="G6" s="18"/>
      <c r="H6" s="10">
        <f t="shared" si="1"/>
        <v>0</v>
      </c>
    </row>
    <row r="7" spans="1:12" x14ac:dyDescent="0.55000000000000004">
      <c r="A7" s="21" t="s">
        <v>353</v>
      </c>
      <c r="B7" s="21">
        <v>1.67</v>
      </c>
      <c r="C7" s="18"/>
      <c r="D7" s="18">
        <f t="shared" si="0"/>
        <v>0</v>
      </c>
      <c r="E7" s="10" t="s">
        <v>163</v>
      </c>
      <c r="F7" s="10">
        <v>1.6</v>
      </c>
      <c r="G7" s="18"/>
      <c r="H7" s="10">
        <f t="shared" si="1"/>
        <v>0</v>
      </c>
      <c r="L7" s="11"/>
    </row>
    <row r="8" spans="1:12" x14ac:dyDescent="0.55000000000000004">
      <c r="A8" s="21" t="s">
        <v>355</v>
      </c>
      <c r="B8" s="21">
        <v>865</v>
      </c>
      <c r="C8" s="18"/>
      <c r="D8" s="18">
        <f t="shared" si="0"/>
        <v>0</v>
      </c>
      <c r="E8" s="10" t="s">
        <v>165</v>
      </c>
      <c r="F8" s="10">
        <v>98050</v>
      </c>
      <c r="G8" s="18"/>
      <c r="H8" s="10">
        <f t="shared" si="1"/>
        <v>0</v>
      </c>
      <c r="L8" s="11"/>
    </row>
    <row r="9" spans="1:12" x14ac:dyDescent="0.55000000000000004">
      <c r="A9" s="21" t="s">
        <v>166</v>
      </c>
      <c r="B9" s="21">
        <v>2.9</v>
      </c>
      <c r="C9" s="18"/>
      <c r="D9" s="18">
        <f t="shared" si="0"/>
        <v>0</v>
      </c>
      <c r="E9" s="10" t="s">
        <v>167</v>
      </c>
      <c r="F9" s="10">
        <v>2.5299999999999998</v>
      </c>
      <c r="G9" s="18"/>
      <c r="H9" s="10">
        <f t="shared" si="1"/>
        <v>0</v>
      </c>
      <c r="L9" s="11"/>
    </row>
    <row r="10" spans="1:12" x14ac:dyDescent="0.55000000000000004">
      <c r="A10" s="21" t="s">
        <v>357</v>
      </c>
      <c r="B10" s="21">
        <v>4.88</v>
      </c>
      <c r="C10" s="18"/>
      <c r="D10" s="18">
        <f t="shared" si="0"/>
        <v>0</v>
      </c>
      <c r="E10" s="10" t="s">
        <v>169</v>
      </c>
      <c r="F10" s="10">
        <v>1.27</v>
      </c>
      <c r="G10" s="18"/>
      <c r="H10" s="10">
        <f t="shared" si="1"/>
        <v>0</v>
      </c>
      <c r="L10" s="11"/>
    </row>
    <row r="11" spans="1:12" x14ac:dyDescent="0.55000000000000004">
      <c r="A11" s="21" t="s">
        <v>523</v>
      </c>
      <c r="B11" s="21">
        <v>692</v>
      </c>
      <c r="C11" s="18">
        <v>7</v>
      </c>
      <c r="D11" s="18">
        <f t="shared" si="0"/>
        <v>4844</v>
      </c>
      <c r="E11" s="10" t="s">
        <v>171</v>
      </c>
      <c r="F11" s="10">
        <v>2.5499999999999998</v>
      </c>
      <c r="G11" s="18"/>
      <c r="H11" s="10">
        <f t="shared" si="1"/>
        <v>0</v>
      </c>
      <c r="L11" s="11"/>
    </row>
    <row r="12" spans="1:12" x14ac:dyDescent="0.55000000000000004">
      <c r="A12" s="21" t="s">
        <v>358</v>
      </c>
      <c r="B12" s="21">
        <v>396</v>
      </c>
      <c r="C12" s="18"/>
      <c r="D12" s="18">
        <f t="shared" si="0"/>
        <v>0</v>
      </c>
      <c r="E12" s="10" t="s">
        <v>173</v>
      </c>
      <c r="F12" s="10">
        <v>120.53</v>
      </c>
      <c r="G12" s="18"/>
      <c r="H12" s="10">
        <f t="shared" si="1"/>
        <v>0</v>
      </c>
      <c r="L12" s="11"/>
    </row>
    <row r="13" spans="1:12" x14ac:dyDescent="0.55000000000000004">
      <c r="A13" s="21" t="s">
        <v>524</v>
      </c>
      <c r="B13" s="21">
        <v>1620</v>
      </c>
      <c r="C13" s="18">
        <v>7</v>
      </c>
      <c r="D13" s="18">
        <f t="shared" si="0"/>
        <v>11340</v>
      </c>
      <c r="E13" s="10" t="s">
        <v>175</v>
      </c>
      <c r="F13" s="10">
        <v>17.23</v>
      </c>
      <c r="G13" s="18"/>
      <c r="H13" s="10">
        <f t="shared" si="1"/>
        <v>0</v>
      </c>
      <c r="L13" s="11"/>
    </row>
    <row r="14" spans="1:12" x14ac:dyDescent="0.55000000000000004">
      <c r="A14" s="21" t="s">
        <v>176</v>
      </c>
      <c r="B14" s="21">
        <v>2.58</v>
      </c>
      <c r="C14" s="18"/>
      <c r="D14" s="18">
        <f t="shared" si="0"/>
        <v>0</v>
      </c>
      <c r="E14" s="10" t="s">
        <v>177</v>
      </c>
      <c r="F14" s="10">
        <v>0.78</v>
      </c>
      <c r="G14" s="18"/>
      <c r="H14" s="10">
        <f t="shared" si="1"/>
        <v>0</v>
      </c>
      <c r="L14" s="11"/>
    </row>
    <row r="15" spans="1:12" x14ac:dyDescent="0.55000000000000004">
      <c r="A15" s="21" t="s">
        <v>360</v>
      </c>
      <c r="B15" s="21">
        <v>180</v>
      </c>
      <c r="C15" s="18">
        <v>3</v>
      </c>
      <c r="D15" s="18">
        <f t="shared" si="0"/>
        <v>540</v>
      </c>
      <c r="E15" s="10" t="s">
        <v>179</v>
      </c>
      <c r="F15" s="10">
        <v>2.1800000000000002</v>
      </c>
      <c r="G15" s="18"/>
      <c r="H15" s="10">
        <f t="shared" si="1"/>
        <v>0</v>
      </c>
      <c r="L15" s="11"/>
    </row>
    <row r="16" spans="1:12" x14ac:dyDescent="0.55000000000000004">
      <c r="A16" s="21" t="s">
        <v>361</v>
      </c>
      <c r="B16" s="21">
        <v>3.7</v>
      </c>
      <c r="C16" s="18"/>
      <c r="D16" s="18">
        <f t="shared" si="0"/>
        <v>0</v>
      </c>
      <c r="E16" s="10" t="s">
        <v>181</v>
      </c>
      <c r="F16" s="10">
        <v>2.4</v>
      </c>
      <c r="G16" s="18"/>
      <c r="H16" s="10">
        <f t="shared" si="1"/>
        <v>0</v>
      </c>
      <c r="L16" s="11"/>
    </row>
    <row r="17" spans="1:12" x14ac:dyDescent="0.55000000000000004">
      <c r="A17" s="21" t="s">
        <v>182</v>
      </c>
      <c r="B17" s="21">
        <v>0.22</v>
      </c>
      <c r="C17" s="18"/>
      <c r="D17" s="18">
        <f t="shared" si="0"/>
        <v>0</v>
      </c>
      <c r="E17" s="10" t="s">
        <v>183</v>
      </c>
      <c r="F17" s="10">
        <v>1.41</v>
      </c>
      <c r="G17" s="18"/>
      <c r="H17" s="10">
        <f t="shared" si="1"/>
        <v>0</v>
      </c>
      <c r="L17" s="11"/>
    </row>
    <row r="18" spans="1:12" x14ac:dyDescent="0.55000000000000004">
      <c r="A18" s="21" t="s">
        <v>184</v>
      </c>
      <c r="B18" s="21">
        <v>1.38</v>
      </c>
      <c r="C18" s="18"/>
      <c r="D18" s="18">
        <f t="shared" si="0"/>
        <v>0</v>
      </c>
      <c r="E18" s="10" t="s">
        <v>185</v>
      </c>
      <c r="F18" s="10">
        <v>0.42</v>
      </c>
      <c r="G18" s="18"/>
      <c r="H18" s="10">
        <f t="shared" si="1"/>
        <v>0</v>
      </c>
      <c r="L18" s="11"/>
    </row>
    <row r="19" spans="1:12" x14ac:dyDescent="0.55000000000000004">
      <c r="A19" s="21" t="s">
        <v>186</v>
      </c>
      <c r="B19" s="21">
        <v>0.81</v>
      </c>
      <c r="C19" s="18"/>
      <c r="D19" s="18">
        <f t="shared" si="0"/>
        <v>0</v>
      </c>
      <c r="E19" s="10" t="s">
        <v>187</v>
      </c>
      <c r="F19" s="10">
        <v>3.86</v>
      </c>
      <c r="G19" s="18"/>
      <c r="H19" s="10">
        <f t="shared" si="1"/>
        <v>0</v>
      </c>
      <c r="L19" s="11"/>
    </row>
    <row r="20" spans="1:12" x14ac:dyDescent="0.55000000000000004">
      <c r="A20" s="21" t="s">
        <v>363</v>
      </c>
      <c r="B20" s="21">
        <v>1.0900000000000001</v>
      </c>
      <c r="C20" s="18"/>
      <c r="D20" s="18">
        <f t="shared" si="0"/>
        <v>0</v>
      </c>
      <c r="E20" s="10" t="s">
        <v>189</v>
      </c>
      <c r="F20" s="10">
        <v>22.38</v>
      </c>
      <c r="G20" s="18"/>
      <c r="H20" s="10">
        <f t="shared" si="1"/>
        <v>0</v>
      </c>
      <c r="L20" s="11"/>
    </row>
    <row r="21" spans="1:12" x14ac:dyDescent="0.55000000000000004">
      <c r="A21" s="21"/>
      <c r="B21" s="21"/>
      <c r="C21" s="18"/>
      <c r="D21" s="18">
        <f t="shared" si="0"/>
        <v>0</v>
      </c>
      <c r="E21" s="10" t="s">
        <v>190</v>
      </c>
      <c r="F21" s="10">
        <v>0.57999999999999996</v>
      </c>
      <c r="G21" s="18"/>
      <c r="H21" s="10">
        <f t="shared" si="1"/>
        <v>0</v>
      </c>
    </row>
    <row r="22" spans="1:12" x14ac:dyDescent="0.55000000000000004">
      <c r="A22" s="21" t="s">
        <v>364</v>
      </c>
      <c r="B22" s="21">
        <v>66.64</v>
      </c>
      <c r="C22" s="18"/>
      <c r="D22" s="18">
        <f t="shared" si="0"/>
        <v>0</v>
      </c>
      <c r="E22" s="10" t="s">
        <v>192</v>
      </c>
      <c r="F22" s="10">
        <v>31.85</v>
      </c>
      <c r="G22" s="18"/>
      <c r="H22" s="10">
        <f t="shared" si="1"/>
        <v>0</v>
      </c>
    </row>
    <row r="23" spans="1:12" x14ac:dyDescent="0.55000000000000004">
      <c r="A23" s="21" t="s">
        <v>366</v>
      </c>
      <c r="B23" s="21">
        <v>3.32</v>
      </c>
      <c r="C23" s="18"/>
      <c r="D23" s="18">
        <f t="shared" si="0"/>
        <v>0</v>
      </c>
      <c r="E23" s="10" t="s">
        <v>194</v>
      </c>
      <c r="F23" s="10">
        <v>2.0299999999999998</v>
      </c>
      <c r="G23" s="18"/>
      <c r="H23" s="10">
        <f t="shared" si="1"/>
        <v>0</v>
      </c>
    </row>
    <row r="24" spans="1:12" x14ac:dyDescent="0.55000000000000004">
      <c r="A24" s="21" t="s">
        <v>195</v>
      </c>
      <c r="B24" s="21">
        <v>3.71</v>
      </c>
      <c r="C24" s="18"/>
      <c r="D24" s="18">
        <f t="shared" si="0"/>
        <v>0</v>
      </c>
      <c r="E24" s="10" t="s">
        <v>196</v>
      </c>
      <c r="F24" s="10">
        <v>0.51</v>
      </c>
      <c r="G24" s="18"/>
      <c r="H24" s="10">
        <f t="shared" si="1"/>
        <v>0</v>
      </c>
    </row>
    <row r="25" spans="1:12" x14ac:dyDescent="0.55000000000000004">
      <c r="A25" s="21" t="s">
        <v>370</v>
      </c>
      <c r="B25" s="21">
        <v>77.67</v>
      </c>
      <c r="C25" s="18"/>
      <c r="D25" s="18">
        <f t="shared" si="0"/>
        <v>0</v>
      </c>
      <c r="E25" s="10" t="s">
        <v>198</v>
      </c>
      <c r="F25" s="10">
        <v>0.83</v>
      </c>
      <c r="G25" s="18"/>
      <c r="H25" s="10">
        <f t="shared" si="1"/>
        <v>0</v>
      </c>
    </row>
    <row r="26" spans="1:12" x14ac:dyDescent="0.55000000000000004">
      <c r="A26" s="21"/>
      <c r="B26" s="21"/>
      <c r="C26" s="18"/>
      <c r="D26" s="18">
        <f t="shared" si="0"/>
        <v>0</v>
      </c>
      <c r="E26" s="10" t="s">
        <v>199</v>
      </c>
      <c r="F26" s="10">
        <v>1.49</v>
      </c>
      <c r="G26" s="18"/>
      <c r="H26" s="10">
        <f t="shared" si="1"/>
        <v>0</v>
      </c>
    </row>
    <row r="27" spans="1:12" x14ac:dyDescent="0.55000000000000004">
      <c r="A27" s="21" t="s">
        <v>200</v>
      </c>
      <c r="B27" s="21">
        <v>0.91</v>
      </c>
      <c r="C27" s="18"/>
      <c r="D27" s="18">
        <f t="shared" si="0"/>
        <v>0</v>
      </c>
      <c r="E27" s="10" t="s">
        <v>201</v>
      </c>
      <c r="F27" s="10">
        <v>0.41</v>
      </c>
      <c r="G27" s="18"/>
      <c r="H27" s="10">
        <f t="shared" si="1"/>
        <v>0</v>
      </c>
    </row>
    <row r="28" spans="1:12" x14ac:dyDescent="0.55000000000000004">
      <c r="A28" s="21" t="s">
        <v>202</v>
      </c>
      <c r="B28" s="21">
        <v>1.05</v>
      </c>
      <c r="C28" s="18"/>
      <c r="D28" s="18">
        <f t="shared" si="0"/>
        <v>0</v>
      </c>
      <c r="E28" s="10" t="s">
        <v>203</v>
      </c>
      <c r="F28" s="10">
        <v>498.15</v>
      </c>
      <c r="G28" s="18"/>
      <c r="H28" s="10">
        <f t="shared" si="1"/>
        <v>0</v>
      </c>
    </row>
    <row r="29" spans="1:12" x14ac:dyDescent="0.55000000000000004">
      <c r="A29" s="21" t="s">
        <v>525</v>
      </c>
      <c r="B29" s="21">
        <v>5460</v>
      </c>
      <c r="C29" s="18">
        <v>0.5</v>
      </c>
      <c r="D29" s="18">
        <f t="shared" si="0"/>
        <v>2730</v>
      </c>
      <c r="E29" s="10" t="s">
        <v>205</v>
      </c>
      <c r="F29" s="10">
        <v>5.3</v>
      </c>
      <c r="G29" s="18"/>
      <c r="H29" s="10">
        <f t="shared" si="1"/>
        <v>0</v>
      </c>
    </row>
    <row r="30" spans="1:12" x14ac:dyDescent="0.55000000000000004">
      <c r="A30" s="21" t="s">
        <v>206</v>
      </c>
      <c r="B30" s="21">
        <v>7.41</v>
      </c>
      <c r="C30" s="18"/>
      <c r="D30" s="18">
        <f t="shared" si="0"/>
        <v>0</v>
      </c>
      <c r="E30" s="10" t="s">
        <v>207</v>
      </c>
      <c r="F30" s="10">
        <v>71.28</v>
      </c>
      <c r="G30" s="18"/>
      <c r="H30" s="10">
        <f t="shared" si="1"/>
        <v>0</v>
      </c>
    </row>
    <row r="31" spans="1:12" x14ac:dyDescent="0.55000000000000004">
      <c r="A31" s="21" t="s">
        <v>208</v>
      </c>
      <c r="B31" s="21">
        <v>2</v>
      </c>
      <c r="C31" s="18"/>
      <c r="D31" s="18">
        <f t="shared" si="0"/>
        <v>0</v>
      </c>
      <c r="E31" s="10" t="s">
        <v>209</v>
      </c>
      <c r="F31" s="10">
        <v>0.97</v>
      </c>
      <c r="G31" s="18"/>
      <c r="H31" s="10">
        <f t="shared" si="1"/>
        <v>0</v>
      </c>
    </row>
    <row r="32" spans="1:12" x14ac:dyDescent="0.55000000000000004">
      <c r="A32" s="21" t="s">
        <v>210</v>
      </c>
      <c r="B32" s="21">
        <v>88.92</v>
      </c>
      <c r="C32" s="18"/>
      <c r="D32" s="18">
        <f t="shared" si="0"/>
        <v>0</v>
      </c>
      <c r="E32" s="10" t="s">
        <v>211</v>
      </c>
      <c r="F32" s="10">
        <v>51.9</v>
      </c>
      <c r="G32" s="18"/>
      <c r="H32" s="10">
        <f t="shared" si="1"/>
        <v>0</v>
      </c>
    </row>
    <row r="33" spans="1:8" x14ac:dyDescent="0.55000000000000004">
      <c r="A33" s="21"/>
      <c r="B33" s="21"/>
      <c r="C33" s="18"/>
      <c r="D33" s="18">
        <f t="shared" si="0"/>
        <v>0</v>
      </c>
      <c r="E33" s="10" t="s">
        <v>212</v>
      </c>
      <c r="F33" s="10">
        <v>0.64</v>
      </c>
      <c r="G33" s="18"/>
      <c r="H33" s="10">
        <f t="shared" si="1"/>
        <v>0</v>
      </c>
    </row>
    <row r="34" spans="1:8" x14ac:dyDescent="0.55000000000000004">
      <c r="A34" s="21" t="s">
        <v>213</v>
      </c>
      <c r="B34" s="21">
        <v>1.7</v>
      </c>
      <c r="C34" s="18"/>
      <c r="D34" s="18">
        <f t="shared" si="0"/>
        <v>0</v>
      </c>
      <c r="E34" s="10" t="s">
        <v>214</v>
      </c>
      <c r="F34" s="10">
        <v>1.28</v>
      </c>
      <c r="G34" s="18"/>
      <c r="H34" s="10">
        <f t="shared" si="1"/>
        <v>0</v>
      </c>
    </row>
    <row r="35" spans="1:8" x14ac:dyDescent="0.55000000000000004">
      <c r="A35" s="21" t="s">
        <v>215</v>
      </c>
      <c r="B35" s="21">
        <v>2.8</v>
      </c>
      <c r="C35" s="18"/>
      <c r="D35" s="18">
        <f t="shared" si="0"/>
        <v>0</v>
      </c>
      <c r="E35" s="10" t="s">
        <v>378</v>
      </c>
      <c r="F35" s="10">
        <v>141.31</v>
      </c>
      <c r="G35" s="18"/>
      <c r="H35" s="10">
        <f t="shared" si="1"/>
        <v>0</v>
      </c>
    </row>
    <row r="36" spans="1:8" x14ac:dyDescent="0.55000000000000004">
      <c r="A36" s="10" t="s">
        <v>217</v>
      </c>
      <c r="B36" s="10">
        <v>4.7300000000000004</v>
      </c>
      <c r="C36" s="18"/>
      <c r="D36" s="18">
        <f>SUM(C36*B36)</f>
        <v>0</v>
      </c>
      <c r="E36" s="10" t="s">
        <v>379</v>
      </c>
      <c r="F36" s="10">
        <v>5.4</v>
      </c>
      <c r="G36" s="18"/>
      <c r="H36" s="10">
        <f t="shared" si="1"/>
        <v>0</v>
      </c>
    </row>
    <row r="37" spans="1:8" x14ac:dyDescent="0.55000000000000004">
      <c r="A37" s="10" t="s">
        <v>219</v>
      </c>
      <c r="B37" s="10">
        <v>2.78</v>
      </c>
      <c r="C37" s="18"/>
      <c r="D37" s="18">
        <f t="shared" si="0"/>
        <v>0</v>
      </c>
      <c r="E37" s="10" t="s">
        <v>380</v>
      </c>
      <c r="F37" s="10">
        <v>4.8600000000000003</v>
      </c>
      <c r="G37" s="18"/>
      <c r="H37" s="10">
        <f t="shared" si="1"/>
        <v>0</v>
      </c>
    </row>
    <row r="38" spans="1:8" x14ac:dyDescent="0.55000000000000004">
      <c r="A38" s="10" t="s">
        <v>221</v>
      </c>
      <c r="B38" s="10">
        <v>0.53</v>
      </c>
      <c r="C38" s="18"/>
      <c r="D38" s="18">
        <f t="shared" si="0"/>
        <v>0</v>
      </c>
      <c r="E38" s="10" t="s">
        <v>382</v>
      </c>
      <c r="F38" s="10">
        <v>1.62</v>
      </c>
      <c r="G38" s="10"/>
      <c r="H38" s="10">
        <f t="shared" si="1"/>
        <v>0</v>
      </c>
    </row>
    <row r="40" spans="1:8" x14ac:dyDescent="0.55000000000000004">
      <c r="D40" s="23">
        <f>SUM(D2:D38)</f>
        <v>19454</v>
      </c>
      <c r="H40" s="11">
        <f>SUM(H2:H38)</f>
        <v>0</v>
      </c>
    </row>
    <row r="41" spans="1:8" x14ac:dyDescent="0.55000000000000004">
      <c r="E41" s="10">
        <f>SUM(D40,H40)</f>
        <v>19454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8086-527F-4862-8F1E-0360E84A5564}">
  <dimension ref="A1:H44"/>
  <sheetViews>
    <sheetView zoomScaleNormal="100" workbookViewId="0">
      <selection activeCell="F44" sqref="F44"/>
    </sheetView>
  </sheetViews>
  <sheetFormatPr defaultColWidth="8.83203125" defaultRowHeight="18" x14ac:dyDescent="0.55000000000000004"/>
  <cols>
    <col min="1" max="1" width="32.1640625" customWidth="1"/>
    <col min="2" max="2" width="11.33203125" customWidth="1"/>
    <col min="3" max="4" width="14.6640625" customWidth="1"/>
    <col min="5" max="5" width="27" customWidth="1"/>
    <col min="6" max="6" width="13.83203125" customWidth="1"/>
    <col min="7" max="7" width="15.1640625" customWidth="1"/>
    <col min="8" max="8" width="9.6640625" bestFit="1" customWidth="1"/>
  </cols>
  <sheetData>
    <row r="1" spans="1:8" x14ac:dyDescent="0.55000000000000004">
      <c r="A1" s="3" t="s">
        <v>0</v>
      </c>
      <c r="B1" s="4" t="s">
        <v>3</v>
      </c>
      <c r="C1" s="4" t="s">
        <v>1</v>
      </c>
      <c r="D1" s="4" t="s">
        <v>4</v>
      </c>
      <c r="E1" s="3" t="s">
        <v>0</v>
      </c>
      <c r="F1" s="3" t="s">
        <v>3</v>
      </c>
      <c r="G1" s="3" t="s">
        <v>1</v>
      </c>
      <c r="H1" s="3" t="s">
        <v>4</v>
      </c>
    </row>
    <row r="2" spans="1:8" x14ac:dyDescent="0.55000000000000004">
      <c r="A2" s="10" t="s">
        <v>526</v>
      </c>
      <c r="B2" s="13">
        <v>203</v>
      </c>
      <c r="C2" s="13">
        <v>0</v>
      </c>
      <c r="D2" s="13">
        <f>SUM(C2*B2)</f>
        <v>0</v>
      </c>
      <c r="E2" s="10" t="s">
        <v>224</v>
      </c>
      <c r="F2" s="10">
        <v>5.35</v>
      </c>
      <c r="G2" s="10"/>
      <c r="H2" s="10">
        <f>SUM(G2*F2)</f>
        <v>0</v>
      </c>
    </row>
    <row r="3" spans="1:8" x14ac:dyDescent="0.55000000000000004">
      <c r="A3" s="10" t="s">
        <v>225</v>
      </c>
      <c r="B3" s="13">
        <v>100</v>
      </c>
      <c r="C3" s="13">
        <v>28</v>
      </c>
      <c r="D3" s="13">
        <f t="shared" ref="D3:D37" si="0">SUM(C3*B3)</f>
        <v>2800</v>
      </c>
      <c r="E3" s="10" t="s">
        <v>226</v>
      </c>
      <c r="F3" s="10">
        <v>11.34</v>
      </c>
      <c r="G3" s="10"/>
      <c r="H3" s="10">
        <f t="shared" ref="H3:H38" si="1">SUM(G3*F3)</f>
        <v>0</v>
      </c>
    </row>
    <row r="4" spans="1:8" x14ac:dyDescent="0.55000000000000004">
      <c r="A4" s="10" t="s">
        <v>227</v>
      </c>
      <c r="B4" s="13">
        <v>205</v>
      </c>
      <c r="C4" s="13">
        <v>6</v>
      </c>
      <c r="D4" s="13">
        <f t="shared" si="0"/>
        <v>1230</v>
      </c>
      <c r="E4" s="10" t="s">
        <v>228</v>
      </c>
      <c r="F4" s="10">
        <v>1.98</v>
      </c>
      <c r="G4" s="10"/>
      <c r="H4" s="10">
        <f t="shared" si="1"/>
        <v>0</v>
      </c>
    </row>
    <row r="5" spans="1:8" x14ac:dyDescent="0.55000000000000004">
      <c r="A5" s="10" t="s">
        <v>229</v>
      </c>
      <c r="B5" s="13">
        <v>64.099999999999994</v>
      </c>
      <c r="C5" s="13"/>
      <c r="D5" s="13">
        <f t="shared" si="0"/>
        <v>0</v>
      </c>
      <c r="E5" s="10" t="s">
        <v>230</v>
      </c>
      <c r="F5" s="10">
        <v>6.3</v>
      </c>
      <c r="G5" s="10"/>
      <c r="H5" s="10">
        <f t="shared" si="1"/>
        <v>0</v>
      </c>
    </row>
    <row r="6" spans="1:8" x14ac:dyDescent="0.55000000000000004">
      <c r="A6" s="10" t="s">
        <v>231</v>
      </c>
      <c r="B6" s="13">
        <v>75.2</v>
      </c>
      <c r="C6" s="13">
        <v>33</v>
      </c>
      <c r="D6" s="13">
        <f t="shared" si="0"/>
        <v>2481.6</v>
      </c>
      <c r="E6" s="10" t="s">
        <v>232</v>
      </c>
      <c r="F6" s="10">
        <v>1.1399999999999999</v>
      </c>
      <c r="G6" s="10"/>
      <c r="H6" s="10">
        <f t="shared" si="1"/>
        <v>0</v>
      </c>
    </row>
    <row r="7" spans="1:8" x14ac:dyDescent="0.55000000000000004">
      <c r="A7" s="10" t="s">
        <v>233</v>
      </c>
      <c r="B7" s="13"/>
      <c r="C7" s="13"/>
      <c r="D7" s="13">
        <f t="shared" si="0"/>
        <v>0</v>
      </c>
      <c r="E7" s="10" t="s">
        <v>234</v>
      </c>
      <c r="F7" s="10">
        <v>0.99</v>
      </c>
      <c r="G7" s="10"/>
      <c r="H7" s="10">
        <f t="shared" si="1"/>
        <v>0</v>
      </c>
    </row>
    <row r="8" spans="1:8" x14ac:dyDescent="0.55000000000000004">
      <c r="A8" s="10" t="s">
        <v>235</v>
      </c>
      <c r="B8" s="13">
        <v>115.5</v>
      </c>
      <c r="C8" s="13">
        <v>9</v>
      </c>
      <c r="D8" s="13">
        <f t="shared" si="0"/>
        <v>1039.5</v>
      </c>
      <c r="E8" s="10" t="s">
        <v>236</v>
      </c>
      <c r="F8" s="10">
        <v>0.88</v>
      </c>
      <c r="G8" s="10"/>
      <c r="H8" s="10">
        <f t="shared" si="1"/>
        <v>0</v>
      </c>
    </row>
    <row r="9" spans="1:8" x14ac:dyDescent="0.55000000000000004">
      <c r="A9" s="10" t="s">
        <v>237</v>
      </c>
      <c r="B9" s="13">
        <v>180</v>
      </c>
      <c r="C9" s="13">
        <v>35</v>
      </c>
      <c r="D9" s="13">
        <f t="shared" si="0"/>
        <v>6300</v>
      </c>
      <c r="E9" s="10" t="s">
        <v>238</v>
      </c>
      <c r="F9" s="10">
        <v>0.25</v>
      </c>
      <c r="G9" s="10"/>
      <c r="H9" s="10">
        <f t="shared" si="1"/>
        <v>0</v>
      </c>
    </row>
    <row r="10" spans="1:8" x14ac:dyDescent="0.55000000000000004">
      <c r="A10" s="10" t="s">
        <v>527</v>
      </c>
      <c r="B10" s="13">
        <v>86.4</v>
      </c>
      <c r="C10" s="13">
        <v>33</v>
      </c>
      <c r="D10" s="13">
        <f t="shared" si="0"/>
        <v>2851.2000000000003</v>
      </c>
      <c r="E10" s="10" t="s">
        <v>240</v>
      </c>
      <c r="F10" s="10">
        <v>0.6</v>
      </c>
      <c r="G10" s="10"/>
      <c r="H10" s="10">
        <f t="shared" si="1"/>
        <v>0</v>
      </c>
    </row>
    <row r="11" spans="1:8" x14ac:dyDescent="0.55000000000000004">
      <c r="A11" s="10" t="s">
        <v>466</v>
      </c>
      <c r="B11" s="13">
        <v>210.6</v>
      </c>
      <c r="C11" s="13">
        <v>27</v>
      </c>
      <c r="D11" s="13">
        <f t="shared" si="0"/>
        <v>5686.2</v>
      </c>
      <c r="E11" s="10"/>
      <c r="F11" s="10"/>
      <c r="G11" s="10"/>
      <c r="H11" s="10">
        <f t="shared" si="1"/>
        <v>0</v>
      </c>
    </row>
    <row r="12" spans="1:8" x14ac:dyDescent="0.55000000000000004">
      <c r="A12" s="10" t="s">
        <v>467</v>
      </c>
      <c r="B12" s="13"/>
      <c r="C12" s="13"/>
      <c r="D12" s="13">
        <f t="shared" si="0"/>
        <v>0</v>
      </c>
      <c r="E12" s="10" t="s">
        <v>528</v>
      </c>
      <c r="F12" s="10">
        <v>1753</v>
      </c>
      <c r="G12" s="10">
        <v>0.5</v>
      </c>
      <c r="H12" s="10">
        <f t="shared" si="1"/>
        <v>876.5</v>
      </c>
    </row>
    <row r="13" spans="1:8" x14ac:dyDescent="0.55000000000000004">
      <c r="A13" s="10" t="s">
        <v>468</v>
      </c>
      <c r="B13" s="13">
        <v>54.4</v>
      </c>
      <c r="C13" s="13"/>
      <c r="D13" s="13">
        <f t="shared" si="0"/>
        <v>0</v>
      </c>
      <c r="E13" s="10" t="s">
        <v>529</v>
      </c>
      <c r="F13" s="10">
        <v>1825</v>
      </c>
      <c r="G13" s="10">
        <v>0.5</v>
      </c>
      <c r="H13" s="10">
        <f t="shared" si="1"/>
        <v>912.5</v>
      </c>
    </row>
    <row r="14" spans="1:8" x14ac:dyDescent="0.55000000000000004">
      <c r="A14" s="10" t="s">
        <v>530</v>
      </c>
      <c r="B14" s="13">
        <v>121.6</v>
      </c>
      <c r="C14" s="13"/>
      <c r="D14" s="13">
        <f t="shared" si="0"/>
        <v>0</v>
      </c>
      <c r="E14" s="10" t="s">
        <v>531</v>
      </c>
      <c r="F14" s="10">
        <v>767</v>
      </c>
      <c r="G14" s="10">
        <v>1</v>
      </c>
      <c r="H14" s="10">
        <f t="shared" si="1"/>
        <v>767</v>
      </c>
    </row>
    <row r="15" spans="1:8" x14ac:dyDescent="0.55000000000000004">
      <c r="A15" s="10" t="s">
        <v>532</v>
      </c>
      <c r="B15" s="13">
        <v>96</v>
      </c>
      <c r="C15" s="13">
        <v>32</v>
      </c>
      <c r="D15" s="13">
        <f t="shared" si="0"/>
        <v>3072</v>
      </c>
      <c r="E15" s="10" t="s">
        <v>533</v>
      </c>
      <c r="F15" s="10">
        <v>3402</v>
      </c>
      <c r="G15" s="10"/>
      <c r="H15" s="10">
        <f t="shared" si="1"/>
        <v>0</v>
      </c>
    </row>
    <row r="16" spans="1:8" x14ac:dyDescent="0.55000000000000004">
      <c r="A16" s="10" t="s">
        <v>265</v>
      </c>
      <c r="B16" s="13">
        <v>1.02</v>
      </c>
      <c r="C16" s="13">
        <v>5</v>
      </c>
      <c r="D16" s="13">
        <f t="shared" si="0"/>
        <v>5.0999999999999996</v>
      </c>
      <c r="E16" s="10" t="s">
        <v>534</v>
      </c>
      <c r="F16" s="10">
        <v>469</v>
      </c>
      <c r="G16" s="10">
        <v>1</v>
      </c>
      <c r="H16" s="10">
        <f t="shared" si="1"/>
        <v>469</v>
      </c>
    </row>
    <row r="17" spans="1:8" x14ac:dyDescent="0.55000000000000004">
      <c r="A17" s="10" t="s">
        <v>535</v>
      </c>
      <c r="B17" s="13">
        <v>0.77</v>
      </c>
      <c r="C17" s="13">
        <v>5</v>
      </c>
      <c r="D17" s="13">
        <f t="shared" si="0"/>
        <v>3.85</v>
      </c>
      <c r="E17" s="10" t="s">
        <v>536</v>
      </c>
      <c r="F17" s="10">
        <v>487</v>
      </c>
      <c r="G17" s="10">
        <v>0.5</v>
      </c>
      <c r="H17" s="10">
        <f t="shared" si="1"/>
        <v>243.5</v>
      </c>
    </row>
    <row r="18" spans="1:8" x14ac:dyDescent="0.55000000000000004">
      <c r="A18" s="10" t="s">
        <v>255</v>
      </c>
      <c r="B18" s="13">
        <v>1.43</v>
      </c>
      <c r="C18" s="13">
        <v>1</v>
      </c>
      <c r="D18" s="13">
        <f t="shared" si="0"/>
        <v>1.43</v>
      </c>
      <c r="E18" s="10" t="s">
        <v>537</v>
      </c>
      <c r="F18" s="10">
        <v>1683</v>
      </c>
      <c r="G18" s="10">
        <v>0.5</v>
      </c>
      <c r="H18" s="10">
        <f t="shared" si="1"/>
        <v>841.5</v>
      </c>
    </row>
    <row r="19" spans="1:8" x14ac:dyDescent="0.55000000000000004">
      <c r="A19" s="10" t="s">
        <v>538</v>
      </c>
      <c r="B19" s="13">
        <v>900</v>
      </c>
      <c r="C19" s="13">
        <v>8</v>
      </c>
      <c r="D19" s="13">
        <f t="shared" si="0"/>
        <v>7200</v>
      </c>
      <c r="E19" s="10" t="s">
        <v>539</v>
      </c>
      <c r="F19" s="10">
        <v>23.7</v>
      </c>
      <c r="G19" s="10"/>
      <c r="H19" s="10">
        <f t="shared" si="1"/>
        <v>0</v>
      </c>
    </row>
    <row r="20" spans="1:8" x14ac:dyDescent="0.55000000000000004">
      <c r="A20" s="10" t="s">
        <v>540</v>
      </c>
      <c r="B20" s="13">
        <v>1.62</v>
      </c>
      <c r="C20" s="13">
        <v>4</v>
      </c>
      <c r="D20" s="13">
        <f t="shared" si="0"/>
        <v>6.48</v>
      </c>
      <c r="E20" s="10" t="s">
        <v>541</v>
      </c>
      <c r="F20" s="10">
        <v>2248</v>
      </c>
      <c r="G20" s="10">
        <v>4</v>
      </c>
      <c r="H20" s="10">
        <f t="shared" si="1"/>
        <v>8992</v>
      </c>
    </row>
    <row r="21" spans="1:8" x14ac:dyDescent="0.55000000000000004">
      <c r="A21" s="10" t="s">
        <v>542</v>
      </c>
      <c r="B21" s="13">
        <v>1062</v>
      </c>
      <c r="C21" s="13">
        <v>4</v>
      </c>
      <c r="D21" s="13">
        <f t="shared" si="0"/>
        <v>4248</v>
      </c>
      <c r="E21" s="10" t="s">
        <v>543</v>
      </c>
      <c r="F21" s="10">
        <v>1179</v>
      </c>
      <c r="G21" s="10">
        <v>3</v>
      </c>
      <c r="H21" s="10">
        <f t="shared" si="1"/>
        <v>3537</v>
      </c>
    </row>
    <row r="22" spans="1:8" x14ac:dyDescent="0.55000000000000004">
      <c r="A22" s="10" t="s">
        <v>459</v>
      </c>
      <c r="B22" s="13">
        <v>134</v>
      </c>
      <c r="C22" s="13">
        <v>49</v>
      </c>
      <c r="D22" s="13">
        <f t="shared" si="0"/>
        <v>6566</v>
      </c>
      <c r="E22" s="10" t="s">
        <v>544</v>
      </c>
      <c r="F22" s="10">
        <v>1746</v>
      </c>
      <c r="G22" s="10">
        <v>2</v>
      </c>
      <c r="H22" s="10">
        <f t="shared" si="1"/>
        <v>3492</v>
      </c>
    </row>
    <row r="23" spans="1:8" x14ac:dyDescent="0.55000000000000004">
      <c r="A23" s="10" t="s">
        <v>545</v>
      </c>
      <c r="B23" s="13">
        <v>97.2</v>
      </c>
      <c r="C23" s="13">
        <v>66</v>
      </c>
      <c r="D23" s="13">
        <f t="shared" si="0"/>
        <v>6415.2</v>
      </c>
      <c r="E23" s="10" t="s">
        <v>546</v>
      </c>
      <c r="F23" s="10"/>
      <c r="G23" s="10">
        <v>13</v>
      </c>
      <c r="H23" s="10">
        <f t="shared" si="1"/>
        <v>0</v>
      </c>
    </row>
    <row r="24" spans="1:8" x14ac:dyDescent="0.55000000000000004">
      <c r="A24" s="10" t="s">
        <v>547</v>
      </c>
      <c r="B24" s="13">
        <v>224.1</v>
      </c>
      <c r="C24" s="13">
        <v>23</v>
      </c>
      <c r="D24" s="13">
        <f t="shared" si="0"/>
        <v>5154.3</v>
      </c>
      <c r="E24" s="10" t="s">
        <v>548</v>
      </c>
      <c r="F24" s="10">
        <v>784</v>
      </c>
      <c r="G24" s="10">
        <v>0.5</v>
      </c>
      <c r="H24" s="10">
        <f t="shared" si="1"/>
        <v>392</v>
      </c>
    </row>
    <row r="25" spans="1:8" x14ac:dyDescent="0.55000000000000004">
      <c r="A25" s="10" t="s">
        <v>549</v>
      </c>
      <c r="B25" s="13">
        <v>1.71</v>
      </c>
      <c r="C25" s="13">
        <v>332</v>
      </c>
      <c r="D25" s="13">
        <f t="shared" si="0"/>
        <v>567.72</v>
      </c>
      <c r="E25" s="10"/>
      <c r="F25" s="10"/>
      <c r="G25" s="10"/>
      <c r="H25" s="10">
        <f t="shared" si="1"/>
        <v>0</v>
      </c>
    </row>
    <row r="26" spans="1:8" x14ac:dyDescent="0.55000000000000004">
      <c r="A26" s="10" t="s">
        <v>550</v>
      </c>
      <c r="B26" s="13">
        <v>1600</v>
      </c>
      <c r="C26" s="13">
        <v>12</v>
      </c>
      <c r="D26" s="13">
        <f t="shared" si="0"/>
        <v>19200</v>
      </c>
      <c r="E26" s="10"/>
      <c r="F26" s="10"/>
      <c r="G26" s="10"/>
      <c r="H26" s="10">
        <f t="shared" si="1"/>
        <v>0</v>
      </c>
    </row>
    <row r="27" spans="1:8" x14ac:dyDescent="0.55000000000000004">
      <c r="A27" s="10" t="s">
        <v>551</v>
      </c>
      <c r="B27" s="13">
        <v>2200</v>
      </c>
      <c r="C27" s="13">
        <v>9</v>
      </c>
      <c r="D27" s="13">
        <f t="shared" si="0"/>
        <v>19800</v>
      </c>
      <c r="E27" s="10"/>
      <c r="F27" s="10"/>
      <c r="G27" s="10"/>
      <c r="H27" s="10">
        <f t="shared" si="1"/>
        <v>0</v>
      </c>
    </row>
    <row r="28" spans="1:8" x14ac:dyDescent="0.55000000000000004">
      <c r="A28" s="10" t="s">
        <v>552</v>
      </c>
      <c r="B28" s="13">
        <v>300</v>
      </c>
      <c r="C28" s="13">
        <v>13.48</v>
      </c>
      <c r="D28" s="13">
        <f t="shared" si="0"/>
        <v>4044</v>
      </c>
      <c r="E28" s="10"/>
      <c r="F28" s="10"/>
      <c r="G28" s="10"/>
      <c r="H28" s="10">
        <f t="shared" si="1"/>
        <v>0</v>
      </c>
    </row>
    <row r="29" spans="1:8" x14ac:dyDescent="0.55000000000000004">
      <c r="A29" s="10" t="s">
        <v>553</v>
      </c>
      <c r="B29" s="13">
        <v>394</v>
      </c>
      <c r="C29" s="13">
        <v>10</v>
      </c>
      <c r="D29" s="13">
        <f t="shared" si="0"/>
        <v>3940</v>
      </c>
      <c r="E29" s="10"/>
      <c r="F29" s="10"/>
      <c r="G29" s="10"/>
      <c r="H29" s="10">
        <f t="shared" si="1"/>
        <v>0</v>
      </c>
    </row>
    <row r="30" spans="1:8" x14ac:dyDescent="0.55000000000000004">
      <c r="A30" s="10" t="s">
        <v>554</v>
      </c>
      <c r="B30" s="13"/>
      <c r="C30" s="13">
        <v>8</v>
      </c>
      <c r="D30" s="13">
        <f t="shared" si="0"/>
        <v>0</v>
      </c>
      <c r="E30" s="10"/>
      <c r="F30" s="10"/>
      <c r="G30" s="10"/>
      <c r="H30" s="10">
        <f t="shared" si="1"/>
        <v>0</v>
      </c>
    </row>
    <row r="31" spans="1:8" x14ac:dyDescent="0.55000000000000004">
      <c r="A31" s="10" t="s">
        <v>555</v>
      </c>
      <c r="B31" s="13">
        <v>968</v>
      </c>
      <c r="C31" s="13">
        <v>6</v>
      </c>
      <c r="D31" s="13">
        <f t="shared" si="0"/>
        <v>5808</v>
      </c>
      <c r="E31" s="10"/>
      <c r="F31" s="10"/>
      <c r="G31" s="10"/>
      <c r="H31" s="10">
        <f t="shared" si="1"/>
        <v>0</v>
      </c>
    </row>
    <row r="32" spans="1:8" x14ac:dyDescent="0.55000000000000004">
      <c r="A32" s="10" t="s">
        <v>556</v>
      </c>
      <c r="B32" s="13">
        <v>115.2</v>
      </c>
      <c r="C32" s="13">
        <v>86</v>
      </c>
      <c r="D32" s="13">
        <f t="shared" si="0"/>
        <v>9907.2000000000007</v>
      </c>
      <c r="E32" s="10"/>
      <c r="F32" s="10"/>
      <c r="G32" s="10"/>
      <c r="H32" s="10">
        <f t="shared" si="1"/>
        <v>0</v>
      </c>
    </row>
    <row r="33" spans="1:8" x14ac:dyDescent="0.55000000000000004">
      <c r="A33" s="10"/>
      <c r="B33" s="13"/>
      <c r="C33" s="13"/>
      <c r="D33" s="13"/>
      <c r="E33" s="10"/>
      <c r="F33" s="10"/>
      <c r="G33" s="10"/>
      <c r="H33" s="10">
        <f t="shared" si="1"/>
        <v>0</v>
      </c>
    </row>
    <row r="34" spans="1:8" x14ac:dyDescent="0.55000000000000004">
      <c r="A34" s="10"/>
      <c r="B34" s="13"/>
      <c r="C34" s="13"/>
      <c r="D34" s="13">
        <f t="shared" si="0"/>
        <v>0</v>
      </c>
      <c r="E34" s="10"/>
      <c r="F34" s="10"/>
      <c r="G34" s="10"/>
      <c r="H34" s="10">
        <f t="shared" si="1"/>
        <v>0</v>
      </c>
    </row>
    <row r="35" spans="1:8" x14ac:dyDescent="0.55000000000000004">
      <c r="A35" s="10"/>
      <c r="B35" s="13"/>
      <c r="C35" s="13"/>
      <c r="D35" s="13">
        <f t="shared" si="0"/>
        <v>0</v>
      </c>
      <c r="E35" s="10"/>
      <c r="F35" s="10"/>
      <c r="G35" s="10"/>
      <c r="H35" s="10">
        <f t="shared" si="1"/>
        <v>0</v>
      </c>
    </row>
    <row r="36" spans="1:8" x14ac:dyDescent="0.55000000000000004">
      <c r="A36" s="10"/>
      <c r="B36" s="13"/>
      <c r="C36" s="13"/>
      <c r="D36" s="13">
        <f t="shared" si="0"/>
        <v>0</v>
      </c>
      <c r="E36" s="10"/>
      <c r="F36" s="10"/>
      <c r="G36" s="10"/>
      <c r="H36" s="10">
        <f t="shared" si="1"/>
        <v>0</v>
      </c>
    </row>
    <row r="37" spans="1:8" x14ac:dyDescent="0.55000000000000004">
      <c r="A37" s="10"/>
      <c r="B37" s="13"/>
      <c r="C37" s="13"/>
      <c r="D37" s="13">
        <f t="shared" si="0"/>
        <v>0</v>
      </c>
      <c r="E37" s="10"/>
      <c r="F37" s="10"/>
      <c r="G37" s="19"/>
      <c r="H37" s="10">
        <f t="shared" si="1"/>
        <v>0</v>
      </c>
    </row>
    <row r="38" spans="1:8" hidden="1" x14ac:dyDescent="0.55000000000000004">
      <c r="A38" s="2"/>
      <c r="B38" s="2"/>
      <c r="C38" s="2"/>
      <c r="D38" s="2"/>
      <c r="E38" s="2"/>
      <c r="F38" s="2"/>
      <c r="G38" s="2"/>
      <c r="H38">
        <f t="shared" si="1"/>
        <v>0</v>
      </c>
    </row>
    <row r="40" spans="1:8" x14ac:dyDescent="0.55000000000000004">
      <c r="D40" s="11">
        <f>SUM(D2:D39)</f>
        <v>118327.78</v>
      </c>
      <c r="E40" s="11"/>
      <c r="F40" s="11"/>
      <c r="G40" s="11"/>
      <c r="H40" s="11">
        <f>SUM(H2:H39)</f>
        <v>20523</v>
      </c>
    </row>
    <row r="41" spans="1:8" x14ac:dyDescent="0.55000000000000004">
      <c r="D41" s="11"/>
      <c r="E41" s="11"/>
      <c r="F41" s="11"/>
      <c r="G41" s="11"/>
      <c r="H41" s="11">
        <f>SUM(H40*1.1)</f>
        <v>22575.300000000003</v>
      </c>
    </row>
    <row r="42" spans="1:8" x14ac:dyDescent="0.55000000000000004">
      <c r="D42" s="11"/>
      <c r="E42" s="10" t="s">
        <v>305</v>
      </c>
      <c r="F42" s="10">
        <f>SUM(D40,H41)</f>
        <v>140903.08000000002</v>
      </c>
      <c r="G42" s="11"/>
      <c r="H42" s="11"/>
    </row>
    <row r="43" spans="1:8" x14ac:dyDescent="0.55000000000000004">
      <c r="D43" s="11"/>
      <c r="E43" s="10" t="s">
        <v>286</v>
      </c>
      <c r="F43" s="44">
        <v>272928.58</v>
      </c>
      <c r="G43" s="11"/>
      <c r="H43" s="11"/>
    </row>
    <row r="44" spans="1:8" x14ac:dyDescent="0.55000000000000004">
      <c r="D44" s="11"/>
      <c r="E44" s="11"/>
      <c r="F44" s="11"/>
      <c r="G44" s="11"/>
      <c r="H44" s="11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AFC4-23AB-4FF8-9D99-CAB6145D3367}">
  <dimension ref="A1:K44"/>
  <sheetViews>
    <sheetView topLeftCell="A28" zoomScale="80" zoomScaleNormal="80" workbookViewId="0">
      <selection activeCell="A2" sqref="A2"/>
    </sheetView>
  </sheetViews>
  <sheetFormatPr defaultColWidth="8.83203125" defaultRowHeight="18" x14ac:dyDescent="0.55000000000000004"/>
  <cols>
    <col min="1" max="1" width="24.6640625" customWidth="1"/>
    <col min="2" max="2" width="10.5" customWidth="1"/>
    <col min="3" max="3" width="14.83203125" customWidth="1"/>
    <col min="4" max="4" width="10.1640625" customWidth="1"/>
    <col min="5" max="5" width="25.83203125" customWidth="1"/>
    <col min="6" max="6" width="13.83203125" customWidth="1"/>
    <col min="7" max="7" width="11.83203125" customWidth="1"/>
    <col min="8" max="8" width="12.83203125" customWidth="1"/>
  </cols>
  <sheetData>
    <row r="1" spans="1:11" ht="25.5" x14ac:dyDescent="0.55000000000000004">
      <c r="A1" s="65" t="s">
        <v>2</v>
      </c>
      <c r="B1" s="65"/>
      <c r="C1" s="65"/>
      <c r="D1" s="65"/>
      <c r="E1" s="65"/>
      <c r="F1" s="65"/>
      <c r="G1" s="66"/>
      <c r="H1" s="1"/>
      <c r="I1" s="1"/>
      <c r="J1" s="1"/>
    </row>
    <row r="2" spans="1:11" x14ac:dyDescent="0.55000000000000004">
      <c r="A2" s="3" t="s">
        <v>0</v>
      </c>
      <c r="B2" s="4" t="s">
        <v>3</v>
      </c>
      <c r="C2" s="4" t="s">
        <v>1</v>
      </c>
      <c r="D2" s="4" t="s">
        <v>4</v>
      </c>
      <c r="E2" s="3" t="s">
        <v>0</v>
      </c>
      <c r="F2" s="3" t="s">
        <v>3</v>
      </c>
      <c r="G2" s="3" t="s">
        <v>1</v>
      </c>
      <c r="H2" s="3" t="s">
        <v>4</v>
      </c>
    </row>
    <row r="3" spans="1:11" s="11" customFormat="1" ht="15" x14ac:dyDescent="0.55000000000000004">
      <c r="A3" s="10" t="s">
        <v>557</v>
      </c>
      <c r="B3" s="13">
        <v>450</v>
      </c>
      <c r="C3" s="20">
        <v>6</v>
      </c>
      <c r="D3" s="20">
        <f t="shared" ref="D3:D37" si="0">SUM(C3*B3)</f>
        <v>2700</v>
      </c>
      <c r="E3" s="29" t="s">
        <v>558</v>
      </c>
      <c r="F3" s="21"/>
      <c r="G3" s="18"/>
      <c r="H3" s="10"/>
    </row>
    <row r="4" spans="1:11" s="11" customFormat="1" ht="15" x14ac:dyDescent="0.35">
      <c r="A4" s="10" t="s">
        <v>559</v>
      </c>
      <c r="B4" s="13">
        <v>450</v>
      </c>
      <c r="C4" s="20">
        <v>4</v>
      </c>
      <c r="D4" s="20">
        <f t="shared" si="0"/>
        <v>1800</v>
      </c>
      <c r="E4" s="29" t="s">
        <v>560</v>
      </c>
      <c r="F4" s="21"/>
      <c r="G4" s="22"/>
      <c r="H4" s="10"/>
    </row>
    <row r="5" spans="1:11" s="11" customFormat="1" ht="15" x14ac:dyDescent="0.35">
      <c r="A5" s="10" t="s">
        <v>561</v>
      </c>
      <c r="B5" s="13">
        <v>430</v>
      </c>
      <c r="C5" s="20">
        <v>6</v>
      </c>
      <c r="D5" s="20">
        <f t="shared" si="0"/>
        <v>2580</v>
      </c>
      <c r="E5" s="29" t="s">
        <v>562</v>
      </c>
      <c r="F5" s="21"/>
      <c r="G5" s="22"/>
      <c r="H5" s="10">
        <f t="shared" ref="H5:H34" si="1">SUM(G5*F5)</f>
        <v>0</v>
      </c>
    </row>
    <row r="6" spans="1:11" s="11" customFormat="1" ht="15" x14ac:dyDescent="0.35">
      <c r="A6" s="10" t="s">
        <v>563</v>
      </c>
      <c r="B6" s="13">
        <v>400</v>
      </c>
      <c r="C6" s="20">
        <v>2</v>
      </c>
      <c r="D6" s="20">
        <f t="shared" si="0"/>
        <v>800</v>
      </c>
      <c r="E6" s="21" t="s">
        <v>564</v>
      </c>
      <c r="F6" s="21">
        <v>334</v>
      </c>
      <c r="G6" s="22">
        <v>65</v>
      </c>
      <c r="H6" s="10">
        <f t="shared" si="1"/>
        <v>21710</v>
      </c>
    </row>
    <row r="7" spans="1:11" s="11" customFormat="1" ht="15" x14ac:dyDescent="0.35">
      <c r="A7" s="10" t="s">
        <v>565</v>
      </c>
      <c r="B7" s="13">
        <v>350</v>
      </c>
      <c r="C7" s="20">
        <v>22</v>
      </c>
      <c r="D7" s="20">
        <f t="shared" si="0"/>
        <v>7700</v>
      </c>
      <c r="E7" s="29" t="s">
        <v>566</v>
      </c>
      <c r="F7" s="21"/>
      <c r="G7" s="22"/>
      <c r="H7" s="10"/>
    </row>
    <row r="8" spans="1:11" s="11" customFormat="1" ht="15" x14ac:dyDescent="0.35">
      <c r="A8" s="10" t="s">
        <v>567</v>
      </c>
      <c r="B8" s="13">
        <v>350</v>
      </c>
      <c r="C8" s="20">
        <v>12</v>
      </c>
      <c r="D8" s="20">
        <f t="shared" si="0"/>
        <v>4200</v>
      </c>
      <c r="E8" s="29" t="s">
        <v>568</v>
      </c>
      <c r="F8" s="21"/>
      <c r="G8" s="22"/>
      <c r="H8" s="10"/>
    </row>
    <row r="9" spans="1:11" s="11" customFormat="1" ht="15" x14ac:dyDescent="0.35">
      <c r="A9" s="10" t="s">
        <v>569</v>
      </c>
      <c r="B9" s="13">
        <v>350</v>
      </c>
      <c r="C9" s="20">
        <v>12</v>
      </c>
      <c r="D9" s="20">
        <f t="shared" si="0"/>
        <v>4200</v>
      </c>
      <c r="E9" s="21" t="s">
        <v>570</v>
      </c>
      <c r="F9" s="21">
        <v>388</v>
      </c>
      <c r="G9" s="22">
        <v>0</v>
      </c>
      <c r="H9" s="10">
        <f t="shared" si="1"/>
        <v>0</v>
      </c>
    </row>
    <row r="10" spans="1:11" s="11" customFormat="1" ht="15" x14ac:dyDescent="0.35">
      <c r="A10" s="10" t="s">
        <v>571</v>
      </c>
      <c r="B10" s="13">
        <v>250</v>
      </c>
      <c r="C10" s="20">
        <v>2</v>
      </c>
      <c r="D10" s="20">
        <f t="shared" si="0"/>
        <v>500</v>
      </c>
      <c r="E10" s="29" t="s">
        <v>572</v>
      </c>
      <c r="F10" s="21"/>
      <c r="G10" s="22"/>
      <c r="H10" s="10"/>
    </row>
    <row r="11" spans="1:11" s="11" customFormat="1" ht="15" x14ac:dyDescent="0.35">
      <c r="A11" s="10" t="s">
        <v>573</v>
      </c>
      <c r="B11" s="13">
        <v>300</v>
      </c>
      <c r="C11" s="20">
        <v>22</v>
      </c>
      <c r="D11" s="20">
        <f t="shared" si="0"/>
        <v>6600</v>
      </c>
      <c r="E11" s="29" t="s">
        <v>574</v>
      </c>
      <c r="F11" s="21"/>
      <c r="G11" s="22"/>
      <c r="H11" s="10"/>
    </row>
    <row r="12" spans="1:11" s="11" customFormat="1" ht="15" x14ac:dyDescent="0.35">
      <c r="A12" s="10" t="s">
        <v>575</v>
      </c>
      <c r="B12" s="13">
        <v>300</v>
      </c>
      <c r="C12" s="20">
        <v>12</v>
      </c>
      <c r="D12" s="20">
        <f t="shared" si="0"/>
        <v>3600</v>
      </c>
      <c r="E12" s="21" t="s">
        <v>576</v>
      </c>
      <c r="F12" s="21">
        <v>2320</v>
      </c>
      <c r="G12" s="22">
        <v>2</v>
      </c>
      <c r="H12" s="10">
        <f t="shared" si="1"/>
        <v>4640</v>
      </c>
      <c r="K12" s="23"/>
    </row>
    <row r="13" spans="1:11" s="11" customFormat="1" ht="15" x14ac:dyDescent="0.35">
      <c r="A13" s="10" t="s">
        <v>577</v>
      </c>
      <c r="B13" s="13">
        <v>300</v>
      </c>
      <c r="C13" s="20">
        <v>22</v>
      </c>
      <c r="D13" s="20">
        <f t="shared" si="0"/>
        <v>6600</v>
      </c>
      <c r="E13" s="21" t="s">
        <v>578</v>
      </c>
      <c r="F13" s="21">
        <v>390</v>
      </c>
      <c r="G13" s="22">
        <v>2.25</v>
      </c>
      <c r="H13" s="10">
        <f t="shared" si="1"/>
        <v>877.5</v>
      </c>
    </row>
    <row r="14" spans="1:11" s="11" customFormat="1" ht="15" x14ac:dyDescent="0.35">
      <c r="A14" s="10" t="s">
        <v>579</v>
      </c>
      <c r="B14" s="13">
        <v>243</v>
      </c>
      <c r="C14" s="20">
        <v>0.5</v>
      </c>
      <c r="D14" s="20">
        <f t="shared" si="0"/>
        <v>121.5</v>
      </c>
      <c r="E14" s="21" t="s">
        <v>580</v>
      </c>
      <c r="F14" s="21">
        <v>390</v>
      </c>
      <c r="G14" s="22"/>
      <c r="H14" s="10">
        <f t="shared" si="1"/>
        <v>0</v>
      </c>
    </row>
    <row r="15" spans="1:11" s="11" customFormat="1" ht="15" x14ac:dyDescent="0.35">
      <c r="A15" s="10" t="s">
        <v>581</v>
      </c>
      <c r="B15" s="13">
        <v>395</v>
      </c>
      <c r="C15" s="20">
        <v>4</v>
      </c>
      <c r="D15" s="20">
        <f t="shared" si="0"/>
        <v>1580</v>
      </c>
      <c r="E15" s="21" t="s">
        <v>582</v>
      </c>
      <c r="F15" s="21">
        <v>340</v>
      </c>
      <c r="G15" s="22">
        <v>9</v>
      </c>
      <c r="H15" s="10">
        <f t="shared" si="1"/>
        <v>3060</v>
      </c>
    </row>
    <row r="16" spans="1:11" s="11" customFormat="1" ht="15" x14ac:dyDescent="0.35">
      <c r="A16" s="30" t="s">
        <v>583</v>
      </c>
      <c r="B16" s="13">
        <v>60</v>
      </c>
      <c r="C16" s="20">
        <v>18.5</v>
      </c>
      <c r="D16" s="20">
        <f>SUM(C16*B16)</f>
        <v>1110</v>
      </c>
      <c r="E16" s="21" t="s">
        <v>584</v>
      </c>
      <c r="F16" s="21">
        <v>340</v>
      </c>
      <c r="G16" s="22">
        <v>4</v>
      </c>
      <c r="H16" s="10">
        <f t="shared" si="1"/>
        <v>1360</v>
      </c>
    </row>
    <row r="17" spans="1:8" s="11" customFormat="1" ht="15" x14ac:dyDescent="0.35">
      <c r="A17" s="31" t="s">
        <v>585</v>
      </c>
      <c r="B17" s="13">
        <v>58</v>
      </c>
      <c r="C17" s="20">
        <v>48</v>
      </c>
      <c r="D17" s="20">
        <f t="shared" ref="D17:D18" si="2">SUM(C17*B17)</f>
        <v>2784</v>
      </c>
      <c r="E17" s="32" t="s">
        <v>586</v>
      </c>
      <c r="F17" s="21">
        <v>1225</v>
      </c>
      <c r="G17" s="22">
        <v>0.75</v>
      </c>
      <c r="H17" s="10">
        <f>SUM(G17*F17)</f>
        <v>918.75</v>
      </c>
    </row>
    <row r="18" spans="1:8" s="11" customFormat="1" ht="15" x14ac:dyDescent="0.35">
      <c r="A18" s="10" t="s">
        <v>587</v>
      </c>
      <c r="B18" s="13">
        <v>197</v>
      </c>
      <c r="C18" s="20">
        <v>4</v>
      </c>
      <c r="D18" s="20">
        <f t="shared" si="2"/>
        <v>788</v>
      </c>
      <c r="E18" s="21" t="s">
        <v>588</v>
      </c>
      <c r="F18" s="21">
        <v>310</v>
      </c>
      <c r="G18" s="22">
        <v>3.25</v>
      </c>
      <c r="H18" s="10">
        <f t="shared" si="1"/>
        <v>1007.5</v>
      </c>
    </row>
    <row r="19" spans="1:8" s="11" customFormat="1" ht="15" x14ac:dyDescent="0.35">
      <c r="A19" s="10" t="s">
        <v>589</v>
      </c>
      <c r="B19" s="13">
        <v>400</v>
      </c>
      <c r="C19" s="20">
        <v>4</v>
      </c>
      <c r="D19" s="20">
        <f t="shared" si="0"/>
        <v>1600</v>
      </c>
      <c r="E19" s="21" t="s">
        <v>590</v>
      </c>
      <c r="F19" s="21">
        <v>1490</v>
      </c>
      <c r="G19" s="22">
        <v>1.25</v>
      </c>
      <c r="H19" s="10">
        <f t="shared" si="1"/>
        <v>1862.5</v>
      </c>
    </row>
    <row r="20" spans="1:8" s="11" customFormat="1" ht="15" x14ac:dyDescent="0.35">
      <c r="A20" s="10" t="s">
        <v>591</v>
      </c>
      <c r="B20" s="13">
        <v>1080</v>
      </c>
      <c r="C20" s="20">
        <v>17</v>
      </c>
      <c r="D20" s="20">
        <f t="shared" si="0"/>
        <v>18360</v>
      </c>
      <c r="E20" s="21" t="s">
        <v>592</v>
      </c>
      <c r="F20" s="21">
        <v>395</v>
      </c>
      <c r="G20" s="22">
        <v>0.75</v>
      </c>
      <c r="H20" s="10">
        <f t="shared" si="1"/>
        <v>296.25</v>
      </c>
    </row>
    <row r="21" spans="1:8" s="11" customFormat="1" ht="15" x14ac:dyDescent="0.35">
      <c r="A21" s="10" t="s">
        <v>593</v>
      </c>
      <c r="B21" s="13">
        <v>1080</v>
      </c>
      <c r="C21" s="20">
        <v>4</v>
      </c>
      <c r="D21" s="20">
        <f t="shared" si="0"/>
        <v>4320</v>
      </c>
      <c r="E21" s="21" t="s">
        <v>594</v>
      </c>
      <c r="F21" s="21">
        <v>278</v>
      </c>
      <c r="G21" s="22">
        <v>0.75</v>
      </c>
      <c r="H21" s="10">
        <f t="shared" si="1"/>
        <v>208.5</v>
      </c>
    </row>
    <row r="22" spans="1:8" s="11" customFormat="1" ht="15" x14ac:dyDescent="0.35">
      <c r="A22" s="10" t="s">
        <v>595</v>
      </c>
      <c r="B22" s="13">
        <v>3770</v>
      </c>
      <c r="C22" s="20">
        <v>1.5</v>
      </c>
      <c r="D22" s="20">
        <f t="shared" si="0"/>
        <v>5655</v>
      </c>
      <c r="E22" s="21" t="s">
        <v>596</v>
      </c>
      <c r="F22" s="21">
        <v>320</v>
      </c>
      <c r="G22" s="22">
        <v>3</v>
      </c>
      <c r="H22" s="10">
        <f t="shared" si="1"/>
        <v>960</v>
      </c>
    </row>
    <row r="23" spans="1:8" s="11" customFormat="1" ht="15" x14ac:dyDescent="0.35">
      <c r="A23" s="10" t="s">
        <v>597</v>
      </c>
      <c r="B23" s="13">
        <v>1180</v>
      </c>
      <c r="C23" s="20">
        <v>2</v>
      </c>
      <c r="D23" s="20">
        <f t="shared" si="0"/>
        <v>2360</v>
      </c>
      <c r="E23" s="33" t="s">
        <v>598</v>
      </c>
      <c r="F23" s="21">
        <v>396</v>
      </c>
      <c r="G23" s="22"/>
      <c r="H23" s="10">
        <f t="shared" si="1"/>
        <v>0</v>
      </c>
    </row>
    <row r="24" spans="1:8" s="11" customFormat="1" ht="15" x14ac:dyDescent="0.35">
      <c r="A24" s="11" t="s">
        <v>599</v>
      </c>
      <c r="B24" s="13"/>
      <c r="C24" s="20">
        <v>1.25</v>
      </c>
      <c r="D24" s="20"/>
      <c r="E24" s="21" t="s">
        <v>600</v>
      </c>
      <c r="F24" s="21">
        <v>358</v>
      </c>
      <c r="G24" s="22"/>
      <c r="H24" s="10">
        <f t="shared" si="1"/>
        <v>0</v>
      </c>
    </row>
    <row r="25" spans="1:8" s="11" customFormat="1" ht="15" x14ac:dyDescent="0.35">
      <c r="A25" s="10" t="s">
        <v>601</v>
      </c>
      <c r="B25" s="13">
        <v>6100</v>
      </c>
      <c r="C25" s="20">
        <v>0.75</v>
      </c>
      <c r="D25" s="20">
        <f t="shared" si="0"/>
        <v>4575</v>
      </c>
      <c r="E25" s="33" t="s">
        <v>602</v>
      </c>
      <c r="F25" s="21">
        <v>453</v>
      </c>
      <c r="G25" s="22"/>
      <c r="H25" s="10">
        <f t="shared" si="1"/>
        <v>0</v>
      </c>
    </row>
    <row r="26" spans="1:8" s="11" customFormat="1" ht="15" x14ac:dyDescent="0.55000000000000004">
      <c r="A26" s="30" t="s">
        <v>603</v>
      </c>
      <c r="B26" s="13">
        <v>2052</v>
      </c>
      <c r="C26" s="20">
        <v>1</v>
      </c>
      <c r="D26" s="20">
        <f t="shared" si="0"/>
        <v>2052</v>
      </c>
      <c r="E26" s="21" t="s">
        <v>604</v>
      </c>
      <c r="F26" s="21">
        <v>1290</v>
      </c>
      <c r="G26" s="18">
        <v>2</v>
      </c>
      <c r="H26" s="10">
        <f t="shared" si="1"/>
        <v>2580</v>
      </c>
    </row>
    <row r="27" spans="1:8" s="11" customFormat="1" ht="15" x14ac:dyDescent="0.55000000000000004">
      <c r="A27" s="30" t="s">
        <v>605</v>
      </c>
      <c r="B27" s="13">
        <v>1650</v>
      </c>
      <c r="C27" s="20">
        <v>0.25</v>
      </c>
      <c r="D27" s="20">
        <f t="shared" si="0"/>
        <v>412.5</v>
      </c>
      <c r="E27" s="33" t="s">
        <v>606</v>
      </c>
      <c r="F27" s="21">
        <v>673</v>
      </c>
      <c r="G27" s="18"/>
      <c r="H27" s="10">
        <f t="shared" si="1"/>
        <v>0</v>
      </c>
    </row>
    <row r="28" spans="1:8" s="11" customFormat="1" ht="15" x14ac:dyDescent="0.55000000000000004">
      <c r="A28" s="10" t="s">
        <v>607</v>
      </c>
      <c r="B28" s="13">
        <v>140</v>
      </c>
      <c r="C28" s="20"/>
      <c r="D28" s="20">
        <f t="shared" si="0"/>
        <v>0</v>
      </c>
      <c r="E28" s="21" t="s">
        <v>608</v>
      </c>
      <c r="F28" s="21">
        <v>324</v>
      </c>
      <c r="G28" s="18">
        <v>0</v>
      </c>
      <c r="H28" s="10">
        <f t="shared" si="1"/>
        <v>0</v>
      </c>
    </row>
    <row r="29" spans="1:8" s="11" customFormat="1" ht="15" x14ac:dyDescent="0.55000000000000004">
      <c r="A29" s="10" t="s">
        <v>609</v>
      </c>
      <c r="B29" s="13">
        <v>291</v>
      </c>
      <c r="C29" s="20"/>
      <c r="D29" s="20">
        <f t="shared" si="0"/>
        <v>0</v>
      </c>
      <c r="E29" s="21" t="s">
        <v>610</v>
      </c>
      <c r="F29" s="21">
        <v>313</v>
      </c>
      <c r="G29" s="18">
        <v>6.5</v>
      </c>
      <c r="H29" s="10">
        <f t="shared" si="1"/>
        <v>2034.5</v>
      </c>
    </row>
    <row r="30" spans="1:8" s="11" customFormat="1" ht="15" x14ac:dyDescent="0.55000000000000004">
      <c r="A30" s="10" t="s">
        <v>611</v>
      </c>
      <c r="B30" s="13">
        <v>600</v>
      </c>
      <c r="C30" s="20"/>
      <c r="D30" s="20">
        <f t="shared" si="0"/>
        <v>0</v>
      </c>
      <c r="E30" s="21" t="s">
        <v>612</v>
      </c>
      <c r="F30" s="21">
        <v>2592</v>
      </c>
      <c r="G30" s="18">
        <v>0.25</v>
      </c>
      <c r="H30" s="10">
        <f t="shared" si="1"/>
        <v>648</v>
      </c>
    </row>
    <row r="31" spans="1:8" s="11" customFormat="1" ht="15" x14ac:dyDescent="0.55000000000000004">
      <c r="A31" s="30" t="s">
        <v>613</v>
      </c>
      <c r="B31" s="13">
        <v>635</v>
      </c>
      <c r="C31" s="20">
        <v>0.252</v>
      </c>
      <c r="D31" s="20">
        <f t="shared" si="0"/>
        <v>160.02000000000001</v>
      </c>
      <c r="E31" s="21" t="s">
        <v>614</v>
      </c>
      <c r="F31" s="21">
        <v>620</v>
      </c>
      <c r="G31" s="18">
        <v>2.5</v>
      </c>
      <c r="H31" s="10">
        <f t="shared" si="1"/>
        <v>1550</v>
      </c>
    </row>
    <row r="32" spans="1:8" s="11" customFormat="1" ht="15" x14ac:dyDescent="0.55000000000000004">
      <c r="A32" s="10" t="s">
        <v>615</v>
      </c>
      <c r="B32" s="13">
        <v>3740</v>
      </c>
      <c r="C32" s="20">
        <v>0.752</v>
      </c>
      <c r="D32" s="20">
        <f t="shared" si="0"/>
        <v>2812.48</v>
      </c>
      <c r="E32" s="21" t="s">
        <v>616</v>
      </c>
      <c r="F32" s="21">
        <v>2490</v>
      </c>
      <c r="G32" s="18">
        <v>0.75</v>
      </c>
      <c r="H32" s="10">
        <f t="shared" si="1"/>
        <v>1867.5</v>
      </c>
    </row>
    <row r="33" spans="1:8" s="11" customFormat="1" ht="15" x14ac:dyDescent="0.55000000000000004">
      <c r="A33" s="10" t="s">
        <v>617</v>
      </c>
      <c r="B33" s="13">
        <v>648</v>
      </c>
      <c r="C33" s="20"/>
      <c r="D33" s="20">
        <f t="shared" si="0"/>
        <v>0</v>
      </c>
      <c r="E33" s="21" t="s">
        <v>618</v>
      </c>
      <c r="F33" s="21">
        <v>250</v>
      </c>
      <c r="G33" s="18">
        <v>15</v>
      </c>
      <c r="H33" s="10">
        <f t="shared" si="1"/>
        <v>3750</v>
      </c>
    </row>
    <row r="34" spans="1:8" s="11" customFormat="1" ht="15" x14ac:dyDescent="0.55000000000000004">
      <c r="A34" s="10" t="s">
        <v>619</v>
      </c>
      <c r="B34" s="24">
        <v>230</v>
      </c>
      <c r="C34" s="20">
        <v>1</v>
      </c>
      <c r="D34" s="20">
        <f t="shared" si="0"/>
        <v>230</v>
      </c>
      <c r="E34" s="21" t="s">
        <v>620</v>
      </c>
      <c r="F34" s="21">
        <v>1468</v>
      </c>
      <c r="G34" s="18">
        <v>1.5</v>
      </c>
      <c r="H34" s="10">
        <f t="shared" si="1"/>
        <v>2202</v>
      </c>
    </row>
    <row r="35" spans="1:8" s="11" customFormat="1" ht="15" x14ac:dyDescent="0.55000000000000004">
      <c r="A35" s="33" t="s">
        <v>621</v>
      </c>
      <c r="B35" s="24">
        <v>399</v>
      </c>
      <c r="C35" s="20">
        <v>0.75</v>
      </c>
      <c r="D35" s="20">
        <f>C35*B35</f>
        <v>299.25</v>
      </c>
      <c r="E35" s="29" t="s">
        <v>622</v>
      </c>
      <c r="F35" s="21"/>
      <c r="G35" s="18"/>
      <c r="H35" s="10"/>
    </row>
    <row r="36" spans="1:8" s="11" customFormat="1" ht="15" x14ac:dyDescent="0.55000000000000004">
      <c r="A36" s="21" t="s">
        <v>623</v>
      </c>
      <c r="B36" s="24">
        <v>194</v>
      </c>
      <c r="C36" s="20">
        <v>0.25</v>
      </c>
      <c r="D36" s="20">
        <f t="shared" si="0"/>
        <v>48.5</v>
      </c>
      <c r="E36" s="29" t="s">
        <v>624</v>
      </c>
      <c r="F36" s="21"/>
      <c r="G36" s="18"/>
      <c r="H36" s="10"/>
    </row>
    <row r="37" spans="1:8" s="11" customFormat="1" ht="15" x14ac:dyDescent="0.55000000000000004">
      <c r="A37" s="21" t="s">
        <v>625</v>
      </c>
      <c r="B37" s="24">
        <v>194</v>
      </c>
      <c r="C37" s="20">
        <v>0.75</v>
      </c>
      <c r="D37" s="20">
        <f t="shared" si="0"/>
        <v>145.5</v>
      </c>
      <c r="E37" s="29" t="s">
        <v>626</v>
      </c>
      <c r="F37" s="21"/>
      <c r="G37" s="18"/>
      <c r="H37" s="10"/>
    </row>
    <row r="38" spans="1:8" s="11" customFormat="1" ht="19.5" customHeight="1" x14ac:dyDescent="0.55000000000000004">
      <c r="A38" s="21" t="s">
        <v>627</v>
      </c>
      <c r="B38" s="24">
        <v>194</v>
      </c>
      <c r="C38" s="25">
        <v>0.75</v>
      </c>
      <c r="D38" s="20">
        <f>SUM(C38*B38)</f>
        <v>145.5</v>
      </c>
      <c r="E38" s="29" t="s">
        <v>628</v>
      </c>
      <c r="F38" s="21"/>
      <c r="G38" s="26"/>
      <c r="H38" s="10"/>
    </row>
    <row r="39" spans="1:8" ht="14.5" customHeight="1" x14ac:dyDescent="0.55000000000000004">
      <c r="A39" s="7"/>
      <c r="B39" s="7"/>
      <c r="C39" s="8"/>
      <c r="D39" s="8"/>
      <c r="E39" s="7"/>
      <c r="F39" s="7"/>
      <c r="G39" s="8"/>
    </row>
    <row r="40" spans="1:8" x14ac:dyDescent="0.55000000000000004">
      <c r="C40" s="6"/>
      <c r="D40" s="6"/>
      <c r="G40" s="6"/>
    </row>
    <row r="41" spans="1:8" x14ac:dyDescent="0.55000000000000004">
      <c r="D41" s="36">
        <f>SUM(D3:D38)</f>
        <v>90839.25</v>
      </c>
      <c r="G41" s="6"/>
      <c r="H41" s="36">
        <f>SUM(H3:H38)</f>
        <v>51533</v>
      </c>
    </row>
    <row r="42" spans="1:8" x14ac:dyDescent="0.55000000000000004">
      <c r="E42" s="37">
        <f>SUM(D41,H41)</f>
        <v>142372.25</v>
      </c>
      <c r="G42" s="6"/>
    </row>
    <row r="43" spans="1:8" x14ac:dyDescent="0.55000000000000004">
      <c r="G43" s="6"/>
    </row>
    <row r="44" spans="1:8" x14ac:dyDescent="0.55000000000000004">
      <c r="G44" s="6"/>
    </row>
  </sheetData>
  <mergeCells count="1">
    <mergeCell ref="A1:G1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3FB3D-5AD1-4256-82E1-4F50707C5510}">
  <dimension ref="A1:L41"/>
  <sheetViews>
    <sheetView topLeftCell="A33" zoomScaleNormal="100" workbookViewId="0">
      <selection activeCell="E23" sqref="E23"/>
    </sheetView>
  </sheetViews>
  <sheetFormatPr defaultColWidth="8.83203125" defaultRowHeight="18" x14ac:dyDescent="0.55000000000000004"/>
  <cols>
    <col min="1" max="1" width="27" customWidth="1"/>
    <col min="2" max="2" width="12.1640625" customWidth="1"/>
    <col min="3" max="3" width="14.6640625" style="6" customWidth="1"/>
    <col min="4" max="4" width="14.6640625" customWidth="1"/>
    <col min="5" max="5" width="22.1640625" customWidth="1"/>
    <col min="6" max="6" width="12" customWidth="1"/>
    <col min="7" max="7" width="13.1640625" style="6" customWidth="1"/>
  </cols>
  <sheetData>
    <row r="1" spans="1:9" x14ac:dyDescent="0.55000000000000004">
      <c r="A1" s="3" t="s">
        <v>0</v>
      </c>
      <c r="B1" s="4" t="s">
        <v>3</v>
      </c>
      <c r="C1" s="27" t="s">
        <v>1</v>
      </c>
      <c r="D1" s="4" t="s">
        <v>4</v>
      </c>
      <c r="E1" s="3" t="s">
        <v>0</v>
      </c>
      <c r="F1" s="16" t="s">
        <v>3</v>
      </c>
      <c r="G1" s="28" t="s">
        <v>1</v>
      </c>
      <c r="H1" s="3" t="s">
        <v>4</v>
      </c>
    </row>
    <row r="2" spans="1:9" s="11" customFormat="1" ht="24.75" customHeight="1" x14ac:dyDescent="0.55000000000000004">
      <c r="A2" s="62" t="s">
        <v>629</v>
      </c>
      <c r="B2" s="10"/>
      <c r="C2" s="18"/>
      <c r="D2" s="10"/>
      <c r="E2" s="10" t="s">
        <v>630</v>
      </c>
      <c r="F2" s="10">
        <v>2354</v>
      </c>
      <c r="G2" s="18">
        <v>2.5</v>
      </c>
      <c r="H2" s="10">
        <f>SUM(G2*F2)</f>
        <v>5885</v>
      </c>
    </row>
    <row r="3" spans="1:9" s="11" customFormat="1" ht="15" x14ac:dyDescent="0.55000000000000004">
      <c r="A3" s="62" t="s">
        <v>631</v>
      </c>
      <c r="B3" s="10"/>
      <c r="C3" s="18"/>
      <c r="D3" s="10"/>
      <c r="E3" s="10" t="s">
        <v>632</v>
      </c>
      <c r="F3" s="10">
        <v>150</v>
      </c>
      <c r="G3" s="18">
        <v>3</v>
      </c>
      <c r="H3" s="10">
        <f t="shared" ref="H3:H38" si="0">SUM(G3*F3)</f>
        <v>450</v>
      </c>
    </row>
    <row r="4" spans="1:9" s="11" customFormat="1" ht="15" x14ac:dyDescent="0.55000000000000004">
      <c r="A4" s="62" t="s">
        <v>633</v>
      </c>
      <c r="B4" s="10"/>
      <c r="C4" s="18"/>
      <c r="D4" s="10"/>
      <c r="E4" s="10" t="s">
        <v>634</v>
      </c>
      <c r="F4" s="10">
        <v>550</v>
      </c>
      <c r="G4" s="18">
        <v>3.75</v>
      </c>
      <c r="H4" s="10">
        <f t="shared" si="0"/>
        <v>2062.5</v>
      </c>
    </row>
    <row r="5" spans="1:9" s="11" customFormat="1" ht="15" x14ac:dyDescent="0.55000000000000004">
      <c r="A5" s="62" t="s">
        <v>635</v>
      </c>
      <c r="B5" s="10"/>
      <c r="C5" s="18"/>
      <c r="D5" s="10"/>
      <c r="E5" s="10" t="s">
        <v>636</v>
      </c>
      <c r="F5" s="10">
        <v>500</v>
      </c>
      <c r="G5" s="18">
        <v>4.2</v>
      </c>
      <c r="H5" s="10">
        <f t="shared" si="0"/>
        <v>2100</v>
      </c>
    </row>
    <row r="6" spans="1:9" s="11" customFormat="1" ht="15" x14ac:dyDescent="0.55000000000000004">
      <c r="A6" s="62" t="s">
        <v>637</v>
      </c>
      <c r="B6" s="10"/>
      <c r="C6" s="18"/>
      <c r="D6" s="10"/>
      <c r="E6" s="10" t="s">
        <v>638</v>
      </c>
      <c r="F6" s="10">
        <v>180</v>
      </c>
      <c r="G6" s="18">
        <v>8</v>
      </c>
      <c r="H6" s="10">
        <f t="shared" si="0"/>
        <v>1440</v>
      </c>
      <c r="I6" s="11" t="s">
        <v>639</v>
      </c>
    </row>
    <row r="7" spans="1:9" s="11" customFormat="1" ht="15" x14ac:dyDescent="0.55000000000000004">
      <c r="A7" s="62" t="s">
        <v>640</v>
      </c>
      <c r="B7" s="10"/>
      <c r="C7" s="18"/>
      <c r="D7" s="10"/>
      <c r="E7" s="10" t="s">
        <v>641</v>
      </c>
      <c r="F7" s="10">
        <v>775</v>
      </c>
      <c r="G7" s="18">
        <v>1.75</v>
      </c>
      <c r="H7" s="10">
        <f t="shared" si="0"/>
        <v>1356.25</v>
      </c>
    </row>
    <row r="8" spans="1:9" s="11" customFormat="1" ht="15" x14ac:dyDescent="0.55000000000000004">
      <c r="A8" s="62" t="s">
        <v>642</v>
      </c>
      <c r="B8" s="10"/>
      <c r="C8" s="18"/>
      <c r="D8" s="10"/>
      <c r="E8" s="30" t="s">
        <v>643</v>
      </c>
      <c r="F8" s="10">
        <v>5750</v>
      </c>
      <c r="G8" s="18">
        <v>0.25</v>
      </c>
      <c r="H8" s="10">
        <f t="shared" si="0"/>
        <v>1437.5</v>
      </c>
    </row>
    <row r="9" spans="1:9" s="11" customFormat="1" ht="15" x14ac:dyDescent="0.55000000000000004">
      <c r="A9" s="62" t="s">
        <v>644</v>
      </c>
      <c r="B9" s="10"/>
      <c r="C9" s="18"/>
      <c r="D9" s="10"/>
      <c r="E9" s="10" t="s">
        <v>645</v>
      </c>
      <c r="F9" s="10">
        <v>840</v>
      </c>
      <c r="G9" s="18">
        <v>1.8</v>
      </c>
      <c r="H9" s="10">
        <f t="shared" si="0"/>
        <v>1512</v>
      </c>
    </row>
    <row r="10" spans="1:9" s="11" customFormat="1" ht="15" x14ac:dyDescent="0.55000000000000004">
      <c r="A10" s="62" t="s">
        <v>646</v>
      </c>
      <c r="B10" s="10"/>
      <c r="C10" s="18"/>
      <c r="D10" s="10"/>
      <c r="E10" s="10" t="s">
        <v>647</v>
      </c>
      <c r="F10" s="10">
        <v>2300</v>
      </c>
      <c r="G10" s="18">
        <v>2.25</v>
      </c>
      <c r="H10" s="10">
        <f t="shared" si="0"/>
        <v>5175</v>
      </c>
    </row>
    <row r="11" spans="1:9" s="11" customFormat="1" ht="15" x14ac:dyDescent="0.55000000000000004">
      <c r="A11" s="62" t="s">
        <v>648</v>
      </c>
      <c r="B11" s="10"/>
      <c r="C11" s="18"/>
      <c r="D11" s="10"/>
      <c r="E11" s="10" t="s">
        <v>649</v>
      </c>
      <c r="F11" s="10">
        <v>2300</v>
      </c>
      <c r="G11" s="18">
        <v>3</v>
      </c>
      <c r="H11" s="10">
        <f t="shared" si="0"/>
        <v>6900</v>
      </c>
    </row>
    <row r="12" spans="1:9" s="11" customFormat="1" ht="15" x14ac:dyDescent="0.55000000000000004">
      <c r="A12" s="62" t="s">
        <v>650</v>
      </c>
      <c r="B12" s="10"/>
      <c r="C12" s="18"/>
      <c r="D12" s="10"/>
      <c r="E12" s="10" t="s">
        <v>651</v>
      </c>
      <c r="F12" s="10">
        <v>2330</v>
      </c>
      <c r="G12" s="18">
        <v>4.75</v>
      </c>
      <c r="H12" s="10">
        <f t="shared" si="0"/>
        <v>11067.5</v>
      </c>
    </row>
    <row r="13" spans="1:9" s="11" customFormat="1" ht="15" x14ac:dyDescent="0.55000000000000004">
      <c r="A13" s="62" t="s">
        <v>652</v>
      </c>
      <c r="B13" s="10"/>
      <c r="C13" s="18"/>
      <c r="D13" s="10"/>
      <c r="E13" s="10" t="s">
        <v>653</v>
      </c>
      <c r="F13" s="10">
        <v>590</v>
      </c>
      <c r="G13" s="18">
        <v>4</v>
      </c>
      <c r="H13" s="10">
        <f t="shared" si="0"/>
        <v>2360</v>
      </c>
    </row>
    <row r="14" spans="1:9" s="11" customFormat="1" ht="15" x14ac:dyDescent="0.55000000000000004">
      <c r="A14" s="62" t="s">
        <v>654</v>
      </c>
      <c r="B14" s="13"/>
      <c r="C14" s="20"/>
      <c r="D14" s="10"/>
      <c r="E14" s="10" t="s">
        <v>655</v>
      </c>
      <c r="F14" s="10">
        <v>5180</v>
      </c>
      <c r="G14" s="18">
        <v>4.25</v>
      </c>
      <c r="H14" s="10">
        <f t="shared" si="0"/>
        <v>22015</v>
      </c>
    </row>
    <row r="15" spans="1:9" s="11" customFormat="1" ht="15" x14ac:dyDescent="0.55000000000000004">
      <c r="A15" s="62" t="s">
        <v>656</v>
      </c>
      <c r="B15" s="13"/>
      <c r="C15" s="20"/>
      <c r="D15" s="10"/>
      <c r="E15" s="10" t="s">
        <v>657</v>
      </c>
      <c r="F15" s="10">
        <v>4330</v>
      </c>
      <c r="G15" s="18">
        <v>4.25</v>
      </c>
      <c r="H15" s="10">
        <f t="shared" si="0"/>
        <v>18402.5</v>
      </c>
    </row>
    <row r="16" spans="1:9" s="11" customFormat="1" ht="15" x14ac:dyDescent="0.55000000000000004">
      <c r="A16" s="62" t="s">
        <v>658</v>
      </c>
      <c r="B16" s="13"/>
      <c r="C16" s="20"/>
      <c r="D16" s="10"/>
      <c r="E16" s="10" t="s">
        <v>659</v>
      </c>
      <c r="F16" s="10">
        <v>2350</v>
      </c>
      <c r="G16" s="18">
        <v>0.38</v>
      </c>
      <c r="H16" s="10">
        <f t="shared" si="0"/>
        <v>893</v>
      </c>
    </row>
    <row r="17" spans="1:12" s="11" customFormat="1" ht="15" x14ac:dyDescent="0.55000000000000004">
      <c r="A17" s="62" t="s">
        <v>660</v>
      </c>
      <c r="B17" s="13"/>
      <c r="C17" s="20"/>
      <c r="D17" s="10"/>
      <c r="E17" s="10" t="s">
        <v>661</v>
      </c>
      <c r="F17" s="10">
        <v>566</v>
      </c>
      <c r="G17" s="18">
        <v>3.75</v>
      </c>
      <c r="H17" s="10">
        <f t="shared" si="0"/>
        <v>2122.5</v>
      </c>
    </row>
    <row r="18" spans="1:12" s="11" customFormat="1" ht="15" x14ac:dyDescent="0.55000000000000004">
      <c r="A18" s="62" t="s">
        <v>662</v>
      </c>
      <c r="B18" s="13"/>
      <c r="C18" s="20"/>
      <c r="D18" s="10"/>
      <c r="E18" s="10"/>
      <c r="F18" s="10"/>
      <c r="G18" s="18"/>
      <c r="H18" s="10">
        <f t="shared" si="0"/>
        <v>0</v>
      </c>
    </row>
    <row r="19" spans="1:12" s="11" customFormat="1" ht="15" x14ac:dyDescent="0.55000000000000004">
      <c r="A19" s="62" t="s">
        <v>663</v>
      </c>
      <c r="B19" s="13"/>
      <c r="C19" s="20"/>
      <c r="D19" s="10"/>
      <c r="E19" s="10" t="s">
        <v>664</v>
      </c>
      <c r="F19" s="10">
        <v>520</v>
      </c>
      <c r="G19" s="18">
        <v>4.5</v>
      </c>
      <c r="H19" s="10">
        <f t="shared" si="0"/>
        <v>2340</v>
      </c>
    </row>
    <row r="20" spans="1:12" s="11" customFormat="1" ht="15" x14ac:dyDescent="0.55000000000000004">
      <c r="A20" s="62" t="s">
        <v>665</v>
      </c>
      <c r="B20" s="13"/>
      <c r="C20" s="20"/>
      <c r="D20" s="10"/>
      <c r="E20" s="10" t="s">
        <v>666</v>
      </c>
      <c r="F20" s="10">
        <v>508</v>
      </c>
      <c r="G20" s="18">
        <v>1</v>
      </c>
      <c r="H20" s="10">
        <f t="shared" si="0"/>
        <v>508</v>
      </c>
      <c r="L20" s="11">
        <v>0.5</v>
      </c>
    </row>
    <row r="21" spans="1:12" s="11" customFormat="1" ht="15" x14ac:dyDescent="0.55000000000000004">
      <c r="A21" s="62" t="s">
        <v>667</v>
      </c>
      <c r="B21" s="13"/>
      <c r="C21" s="20"/>
      <c r="D21" s="10"/>
      <c r="E21" s="10" t="s">
        <v>668</v>
      </c>
      <c r="F21" s="10">
        <v>720</v>
      </c>
      <c r="G21" s="18">
        <v>1.5</v>
      </c>
      <c r="H21" s="10">
        <f t="shared" si="0"/>
        <v>1080</v>
      </c>
      <c r="L21" s="11">
        <v>2.2000000000000002</v>
      </c>
    </row>
    <row r="22" spans="1:12" s="11" customFormat="1" ht="15" x14ac:dyDescent="0.55000000000000004">
      <c r="A22" s="62" t="s">
        <v>669</v>
      </c>
      <c r="B22" s="13"/>
      <c r="C22" s="20"/>
      <c r="D22" s="10"/>
      <c r="E22" s="10" t="s">
        <v>670</v>
      </c>
      <c r="F22" s="10">
        <v>340</v>
      </c>
      <c r="G22" s="18">
        <v>10</v>
      </c>
      <c r="H22" s="10">
        <f t="shared" si="0"/>
        <v>3400</v>
      </c>
    </row>
    <row r="23" spans="1:12" s="11" customFormat="1" ht="15" x14ac:dyDescent="0.55000000000000004">
      <c r="A23" s="62" t="s">
        <v>671</v>
      </c>
      <c r="B23" s="13"/>
      <c r="C23" s="20"/>
      <c r="D23" s="10"/>
      <c r="E23" s="62" t="s">
        <v>672</v>
      </c>
      <c r="F23" s="10"/>
      <c r="G23" s="18"/>
      <c r="H23" s="10"/>
    </row>
    <row r="24" spans="1:12" s="11" customFormat="1" ht="15" x14ac:dyDescent="0.55000000000000004">
      <c r="A24" s="62" t="s">
        <v>673</v>
      </c>
      <c r="B24" s="13"/>
      <c r="C24" s="20"/>
      <c r="D24" s="10"/>
      <c r="E24" s="62" t="s">
        <v>674</v>
      </c>
      <c r="F24" s="10"/>
      <c r="G24" s="18"/>
      <c r="H24" s="10"/>
    </row>
    <row r="25" spans="1:12" s="11" customFormat="1" ht="15" x14ac:dyDescent="0.55000000000000004">
      <c r="A25" s="10" t="s">
        <v>675</v>
      </c>
      <c r="B25" s="13">
        <v>2.7</v>
      </c>
      <c r="C25" s="20">
        <v>390</v>
      </c>
      <c r="D25" s="10">
        <f t="shared" ref="D25:D38" si="1">SUM(C25*B25)</f>
        <v>1053</v>
      </c>
      <c r="E25" s="62" t="s">
        <v>676</v>
      </c>
      <c r="F25" s="10"/>
      <c r="G25" s="18"/>
      <c r="H25" s="10"/>
    </row>
    <row r="26" spans="1:12" s="11" customFormat="1" ht="15" x14ac:dyDescent="0.55000000000000004">
      <c r="A26" s="10" t="s">
        <v>677</v>
      </c>
      <c r="B26" s="13">
        <v>2.7</v>
      </c>
      <c r="C26" s="20">
        <v>345</v>
      </c>
      <c r="D26" s="10">
        <f t="shared" si="1"/>
        <v>931.50000000000011</v>
      </c>
      <c r="E26" s="62" t="s">
        <v>678</v>
      </c>
      <c r="F26" s="10"/>
      <c r="G26" s="18"/>
      <c r="H26" s="10"/>
    </row>
    <row r="27" spans="1:12" s="11" customFormat="1" ht="15" x14ac:dyDescent="0.55000000000000004">
      <c r="A27" s="10" t="s">
        <v>679</v>
      </c>
      <c r="B27" s="13">
        <v>2390</v>
      </c>
      <c r="C27" s="20">
        <v>1</v>
      </c>
      <c r="D27" s="10">
        <f t="shared" si="1"/>
        <v>2390</v>
      </c>
      <c r="E27" s="62" t="s">
        <v>680</v>
      </c>
      <c r="F27" s="10"/>
      <c r="G27" s="18"/>
      <c r="H27" s="10"/>
    </row>
    <row r="28" spans="1:12" s="11" customFormat="1" ht="15" x14ac:dyDescent="0.55000000000000004">
      <c r="A28" s="10" t="s">
        <v>681</v>
      </c>
      <c r="B28" s="13">
        <v>2200</v>
      </c>
      <c r="C28" s="20">
        <v>1.1499999999999999</v>
      </c>
      <c r="D28" s="10">
        <f t="shared" si="1"/>
        <v>2530</v>
      </c>
      <c r="E28" s="62" t="s">
        <v>682</v>
      </c>
      <c r="F28" s="10"/>
      <c r="G28" s="18"/>
      <c r="H28" s="10"/>
      <c r="K28" s="11">
        <v>669</v>
      </c>
    </row>
    <row r="29" spans="1:12" s="11" customFormat="1" ht="15" x14ac:dyDescent="0.55000000000000004">
      <c r="A29" s="10" t="s">
        <v>683</v>
      </c>
      <c r="B29" s="13">
        <v>0.81</v>
      </c>
      <c r="C29" s="20">
        <v>110</v>
      </c>
      <c r="D29" s="10">
        <f>SUM(C29*B29)</f>
        <v>89.100000000000009</v>
      </c>
      <c r="E29" s="62" t="s">
        <v>684</v>
      </c>
      <c r="F29" s="10"/>
      <c r="G29" s="18"/>
      <c r="H29" s="10"/>
    </row>
    <row r="30" spans="1:12" s="11" customFormat="1" ht="15" x14ac:dyDescent="0.55000000000000004">
      <c r="A30" s="30" t="s">
        <v>685</v>
      </c>
      <c r="B30" s="13">
        <v>989</v>
      </c>
      <c r="C30" s="20"/>
      <c r="D30" s="10">
        <f t="shared" ref="D30:D33" si="2">SUM(C30*B30)</f>
        <v>0</v>
      </c>
      <c r="E30" s="62" t="s">
        <v>686</v>
      </c>
      <c r="F30" s="10"/>
      <c r="G30" s="18"/>
      <c r="H30" s="10"/>
    </row>
    <row r="31" spans="1:12" s="11" customFormat="1" ht="15" x14ac:dyDescent="0.55000000000000004">
      <c r="A31" s="30" t="s">
        <v>687</v>
      </c>
      <c r="B31" s="13">
        <v>353</v>
      </c>
      <c r="C31" s="20"/>
      <c r="D31" s="10">
        <f t="shared" si="2"/>
        <v>0</v>
      </c>
      <c r="E31" s="62" t="s">
        <v>688</v>
      </c>
      <c r="F31" s="10"/>
      <c r="G31" s="18"/>
      <c r="H31" s="10">
        <f t="shared" si="0"/>
        <v>0</v>
      </c>
    </row>
    <row r="32" spans="1:12" s="11" customFormat="1" ht="15" x14ac:dyDescent="0.55000000000000004">
      <c r="A32" s="10" t="s">
        <v>689</v>
      </c>
      <c r="B32" s="13">
        <v>1000</v>
      </c>
      <c r="C32" s="20">
        <v>7.5</v>
      </c>
      <c r="D32" s="10">
        <f t="shared" si="2"/>
        <v>7500</v>
      </c>
      <c r="E32" s="62" t="s">
        <v>690</v>
      </c>
      <c r="F32" s="10"/>
      <c r="G32" s="18"/>
      <c r="H32" s="10"/>
    </row>
    <row r="33" spans="1:8" s="11" customFormat="1" ht="15" x14ac:dyDescent="0.55000000000000004">
      <c r="A33" s="30" t="s">
        <v>691</v>
      </c>
      <c r="B33" s="13">
        <v>115</v>
      </c>
      <c r="C33" s="20"/>
      <c r="D33" s="10">
        <f t="shared" si="2"/>
        <v>0</v>
      </c>
      <c r="E33" s="62" t="s">
        <v>692</v>
      </c>
      <c r="F33" s="10"/>
      <c r="G33" s="18"/>
      <c r="H33" s="10">
        <f t="shared" si="0"/>
        <v>0</v>
      </c>
    </row>
    <row r="34" spans="1:8" s="11" customFormat="1" ht="15" x14ac:dyDescent="0.55000000000000004">
      <c r="A34" s="10" t="s">
        <v>693</v>
      </c>
      <c r="B34" s="13">
        <v>410</v>
      </c>
      <c r="C34" s="20">
        <v>0.5</v>
      </c>
      <c r="D34" s="10">
        <f t="shared" si="1"/>
        <v>205</v>
      </c>
      <c r="E34" s="62" t="s">
        <v>694</v>
      </c>
      <c r="F34" s="10"/>
      <c r="G34" s="18"/>
      <c r="H34" s="10">
        <f t="shared" si="0"/>
        <v>0</v>
      </c>
    </row>
    <row r="35" spans="1:8" s="11" customFormat="1" ht="15" x14ac:dyDescent="0.55000000000000004">
      <c r="A35" s="10" t="s">
        <v>695</v>
      </c>
      <c r="B35" s="13">
        <v>225</v>
      </c>
      <c r="C35" s="20">
        <v>2</v>
      </c>
      <c r="D35" s="10">
        <f t="shared" si="1"/>
        <v>450</v>
      </c>
      <c r="E35" s="62" t="s">
        <v>696</v>
      </c>
      <c r="F35" s="10"/>
      <c r="G35" s="18"/>
      <c r="H35" s="10"/>
    </row>
    <row r="36" spans="1:8" s="11" customFormat="1" ht="15" x14ac:dyDescent="0.55000000000000004">
      <c r="A36" s="10" t="s">
        <v>697</v>
      </c>
      <c r="B36" s="13">
        <v>705</v>
      </c>
      <c r="C36" s="20">
        <v>1.5</v>
      </c>
      <c r="D36" s="10">
        <f t="shared" si="1"/>
        <v>1057.5</v>
      </c>
      <c r="E36" s="62" t="s">
        <v>698</v>
      </c>
      <c r="F36" s="10"/>
      <c r="G36" s="18"/>
      <c r="H36" s="10">
        <f t="shared" si="0"/>
        <v>0</v>
      </c>
    </row>
    <row r="37" spans="1:8" s="11" customFormat="1" ht="15" x14ac:dyDescent="0.55000000000000004">
      <c r="A37" s="10" t="s">
        <v>699</v>
      </c>
      <c r="B37" s="13">
        <v>6.1</v>
      </c>
      <c r="C37" s="20">
        <v>1.5</v>
      </c>
      <c r="D37" s="10">
        <f t="shared" si="1"/>
        <v>9.1499999999999986</v>
      </c>
      <c r="E37" s="62" t="s">
        <v>700</v>
      </c>
      <c r="F37" s="10"/>
      <c r="G37" s="18"/>
      <c r="H37" s="10"/>
    </row>
    <row r="38" spans="1:8" hidden="1" x14ac:dyDescent="0.55000000000000004">
      <c r="A38" s="2"/>
      <c r="B38" s="2"/>
      <c r="C38" s="5"/>
      <c r="D38" s="10">
        <f t="shared" si="1"/>
        <v>0</v>
      </c>
      <c r="E38" s="14"/>
      <c r="H38" s="10">
        <f t="shared" si="0"/>
        <v>0</v>
      </c>
    </row>
    <row r="40" spans="1:8" x14ac:dyDescent="0.55000000000000004">
      <c r="D40" s="11">
        <f>SUM(D2:D37)</f>
        <v>16215.25</v>
      </c>
      <c r="H40" s="36">
        <f>SUM(H2:H37)</f>
        <v>92506.75</v>
      </c>
    </row>
    <row r="41" spans="1:8" x14ac:dyDescent="0.55000000000000004">
      <c r="E41" s="36">
        <f>SUM(D40,H40)</f>
        <v>108722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B0A5-3DA2-4BDF-A047-3E4932BAA3EA}">
  <dimension ref="A1:L40"/>
  <sheetViews>
    <sheetView zoomScaleNormal="100" workbookViewId="0">
      <selection activeCell="G37" sqref="G37"/>
    </sheetView>
  </sheetViews>
  <sheetFormatPr defaultColWidth="8.83203125" defaultRowHeight="18" x14ac:dyDescent="0.55000000000000004"/>
  <cols>
    <col min="1" max="1" width="27" customWidth="1"/>
    <col min="2" max="2" width="12.1640625" customWidth="1"/>
    <col min="3" max="4" width="14.6640625" customWidth="1"/>
    <col min="5" max="5" width="22.1640625" customWidth="1"/>
    <col min="6" max="6" width="12" customWidth="1"/>
    <col min="7" max="7" width="13.1640625" customWidth="1"/>
  </cols>
  <sheetData>
    <row r="1" spans="1:12" x14ac:dyDescent="0.55000000000000004">
      <c r="A1" s="3" t="s">
        <v>0</v>
      </c>
      <c r="B1" s="4" t="s">
        <v>3</v>
      </c>
      <c r="C1" s="4" t="s">
        <v>1</v>
      </c>
      <c r="D1" s="4" t="s">
        <v>4</v>
      </c>
      <c r="E1" s="3" t="s">
        <v>0</v>
      </c>
      <c r="F1" s="16" t="s">
        <v>3</v>
      </c>
      <c r="G1" s="17" t="s">
        <v>1</v>
      </c>
      <c r="H1" s="3" t="s">
        <v>4</v>
      </c>
    </row>
    <row r="2" spans="1:12" s="11" customFormat="1" ht="15" x14ac:dyDescent="0.55000000000000004">
      <c r="A2" s="10" t="s">
        <v>701</v>
      </c>
      <c r="B2" s="10"/>
      <c r="C2" s="10"/>
      <c r="D2" s="10"/>
      <c r="E2" s="10" t="s">
        <v>702</v>
      </c>
      <c r="F2" s="10"/>
      <c r="G2" s="10"/>
      <c r="H2" s="10">
        <f>SUM(G2*F2)</f>
        <v>0</v>
      </c>
    </row>
    <row r="3" spans="1:12" s="11" customFormat="1" ht="15" x14ac:dyDescent="0.55000000000000004">
      <c r="A3" s="10" t="s">
        <v>703</v>
      </c>
      <c r="B3" s="10"/>
      <c r="C3" s="10"/>
      <c r="D3" s="10"/>
      <c r="E3" s="10" t="s">
        <v>704</v>
      </c>
      <c r="F3" s="10"/>
      <c r="G3" s="10"/>
      <c r="H3" s="10">
        <f t="shared" ref="H3:H37" si="0">SUM(G3*F3)</f>
        <v>0</v>
      </c>
    </row>
    <row r="4" spans="1:12" s="11" customFormat="1" ht="15" x14ac:dyDescent="0.55000000000000004">
      <c r="A4" s="10" t="s">
        <v>705</v>
      </c>
      <c r="B4" s="10"/>
      <c r="C4" s="10"/>
      <c r="D4" s="10"/>
      <c r="E4" s="10" t="s">
        <v>706</v>
      </c>
      <c r="F4" s="10"/>
      <c r="G4" s="10"/>
      <c r="H4" s="10">
        <f t="shared" si="0"/>
        <v>0</v>
      </c>
    </row>
    <row r="5" spans="1:12" s="11" customFormat="1" ht="15" x14ac:dyDescent="0.55000000000000004">
      <c r="A5" s="10" t="s">
        <v>707</v>
      </c>
      <c r="B5" s="10"/>
      <c r="C5" s="10"/>
      <c r="D5" s="10"/>
      <c r="E5" s="10" t="s">
        <v>708</v>
      </c>
      <c r="F5" s="10"/>
      <c r="G5" s="10"/>
      <c r="H5" s="10">
        <f t="shared" si="0"/>
        <v>0</v>
      </c>
    </row>
    <row r="6" spans="1:12" s="11" customFormat="1" ht="15" x14ac:dyDescent="0.55000000000000004">
      <c r="A6" s="10" t="s">
        <v>709</v>
      </c>
      <c r="B6" s="10"/>
      <c r="C6" s="10"/>
      <c r="D6" s="10"/>
      <c r="E6" s="10" t="s">
        <v>710</v>
      </c>
      <c r="F6" s="10"/>
      <c r="G6" s="10"/>
      <c r="H6" s="10">
        <f t="shared" si="0"/>
        <v>0</v>
      </c>
    </row>
    <row r="7" spans="1:12" s="11" customFormat="1" ht="15" x14ac:dyDescent="0.55000000000000004">
      <c r="A7" s="10" t="s">
        <v>711</v>
      </c>
      <c r="B7" s="10"/>
      <c r="C7" s="10"/>
      <c r="D7" s="10"/>
      <c r="E7" s="10" t="s">
        <v>712</v>
      </c>
      <c r="F7" s="10">
        <v>360</v>
      </c>
      <c r="G7" s="10">
        <v>2</v>
      </c>
      <c r="H7" s="10">
        <f t="shared" si="0"/>
        <v>720</v>
      </c>
    </row>
    <row r="8" spans="1:12" s="11" customFormat="1" ht="15" x14ac:dyDescent="0.55000000000000004">
      <c r="A8" s="10" t="s">
        <v>713</v>
      </c>
      <c r="B8" s="10"/>
      <c r="C8" s="10"/>
      <c r="D8" s="10"/>
      <c r="E8" s="10" t="s">
        <v>714</v>
      </c>
      <c r="F8" s="10">
        <v>626</v>
      </c>
      <c r="G8" s="10">
        <v>3</v>
      </c>
      <c r="H8" s="10">
        <f t="shared" si="0"/>
        <v>1878</v>
      </c>
      <c r="J8" s="11">
        <v>0.42</v>
      </c>
      <c r="K8" s="11">
        <v>1600</v>
      </c>
      <c r="L8" s="11">
        <f>SUM(J8*K8)</f>
        <v>672</v>
      </c>
    </row>
    <row r="9" spans="1:12" s="11" customFormat="1" ht="15" x14ac:dyDescent="0.55000000000000004">
      <c r="A9" s="10" t="s">
        <v>715</v>
      </c>
      <c r="B9" s="10"/>
      <c r="C9" s="10"/>
      <c r="D9" s="10"/>
      <c r="E9" s="10" t="s">
        <v>716</v>
      </c>
      <c r="F9" s="10">
        <v>1253</v>
      </c>
      <c r="G9" s="10">
        <v>1</v>
      </c>
      <c r="H9" s="10">
        <f t="shared" si="0"/>
        <v>1253</v>
      </c>
      <c r="J9" s="11">
        <v>0.42</v>
      </c>
      <c r="K9" s="11">
        <v>250</v>
      </c>
      <c r="L9" s="11">
        <f t="shared" ref="L9:L11" si="1">SUM(J9*K9)</f>
        <v>105</v>
      </c>
    </row>
    <row r="10" spans="1:12" s="11" customFormat="1" ht="15" x14ac:dyDescent="0.55000000000000004">
      <c r="A10" s="10" t="s">
        <v>717</v>
      </c>
      <c r="B10" s="10"/>
      <c r="C10" s="10"/>
      <c r="D10" s="10"/>
      <c r="E10" s="10" t="s">
        <v>718</v>
      </c>
      <c r="F10" s="10"/>
      <c r="G10" s="10"/>
      <c r="H10" s="10">
        <f t="shared" si="0"/>
        <v>0</v>
      </c>
      <c r="J10" s="11">
        <v>1.49</v>
      </c>
      <c r="K10" s="11">
        <v>50</v>
      </c>
      <c r="L10" s="11">
        <f t="shared" si="1"/>
        <v>74.5</v>
      </c>
    </row>
    <row r="11" spans="1:12" s="11" customFormat="1" ht="15" x14ac:dyDescent="0.55000000000000004">
      <c r="A11" s="10" t="s">
        <v>719</v>
      </c>
      <c r="B11" s="10"/>
      <c r="C11" s="10"/>
      <c r="D11" s="10"/>
      <c r="E11" s="10" t="s">
        <v>720</v>
      </c>
      <c r="F11" s="10"/>
      <c r="G11" s="10"/>
      <c r="H11" s="10">
        <f t="shared" si="0"/>
        <v>0</v>
      </c>
      <c r="J11" s="11">
        <v>0.38</v>
      </c>
      <c r="K11" s="11">
        <v>400</v>
      </c>
      <c r="L11" s="11">
        <f t="shared" si="1"/>
        <v>152</v>
      </c>
    </row>
    <row r="12" spans="1:12" s="11" customFormat="1" ht="15" x14ac:dyDescent="0.55000000000000004">
      <c r="A12" s="10" t="s">
        <v>721</v>
      </c>
      <c r="B12" s="10"/>
      <c r="C12" s="10"/>
      <c r="D12" s="10"/>
      <c r="E12" s="10" t="s">
        <v>722</v>
      </c>
      <c r="F12" s="10"/>
      <c r="G12" s="10"/>
      <c r="H12" s="10">
        <f t="shared" si="0"/>
        <v>0</v>
      </c>
      <c r="K12" s="11">
        <v>200</v>
      </c>
      <c r="L12" s="11">
        <v>250</v>
      </c>
    </row>
    <row r="13" spans="1:12" s="11" customFormat="1" ht="15" x14ac:dyDescent="0.55000000000000004">
      <c r="A13" s="10" t="s">
        <v>723</v>
      </c>
      <c r="B13" s="10"/>
      <c r="C13" s="10"/>
      <c r="D13" s="10"/>
      <c r="E13" s="10" t="s">
        <v>724</v>
      </c>
      <c r="F13" s="10"/>
      <c r="G13" s="10"/>
      <c r="H13" s="10">
        <f t="shared" si="0"/>
        <v>0</v>
      </c>
    </row>
    <row r="14" spans="1:12" s="11" customFormat="1" ht="15" x14ac:dyDescent="0.55000000000000004">
      <c r="A14" s="10" t="s">
        <v>725</v>
      </c>
      <c r="B14" s="13"/>
      <c r="C14" s="13"/>
      <c r="D14" s="13"/>
      <c r="E14" s="10" t="s">
        <v>726</v>
      </c>
      <c r="F14" s="10"/>
      <c r="G14" s="10"/>
      <c r="H14" s="10">
        <f t="shared" si="0"/>
        <v>0</v>
      </c>
      <c r="L14" s="11">
        <f>SUM(L8:L12)</f>
        <v>1253.5</v>
      </c>
    </row>
    <row r="15" spans="1:12" s="11" customFormat="1" ht="15" x14ac:dyDescent="0.55000000000000004">
      <c r="A15" s="10" t="s">
        <v>727</v>
      </c>
      <c r="B15" s="13"/>
      <c r="C15" s="13"/>
      <c r="D15" s="13"/>
      <c r="E15" s="10" t="s">
        <v>728</v>
      </c>
      <c r="F15" s="10"/>
      <c r="G15" s="10"/>
      <c r="H15" s="10">
        <f t="shared" si="0"/>
        <v>0</v>
      </c>
    </row>
    <row r="16" spans="1:12" s="11" customFormat="1" ht="15" x14ac:dyDescent="0.55000000000000004">
      <c r="A16" s="10" t="s">
        <v>729</v>
      </c>
      <c r="B16" s="13"/>
      <c r="C16" s="13"/>
      <c r="D16" s="13"/>
      <c r="E16" s="10" t="s">
        <v>730</v>
      </c>
      <c r="F16" s="10"/>
      <c r="G16" s="10"/>
      <c r="H16" s="10">
        <f t="shared" si="0"/>
        <v>0</v>
      </c>
    </row>
    <row r="17" spans="1:8" s="11" customFormat="1" ht="15" x14ac:dyDescent="0.55000000000000004">
      <c r="A17" s="10" t="s">
        <v>731</v>
      </c>
      <c r="B17" s="13"/>
      <c r="C17" s="13"/>
      <c r="D17" s="13"/>
      <c r="E17" s="10" t="s">
        <v>732</v>
      </c>
      <c r="F17" s="10"/>
      <c r="G17" s="10"/>
      <c r="H17" s="10">
        <f t="shared" si="0"/>
        <v>0</v>
      </c>
    </row>
    <row r="18" spans="1:8" s="11" customFormat="1" ht="15" x14ac:dyDescent="0.55000000000000004">
      <c r="A18" s="10" t="s">
        <v>733</v>
      </c>
      <c r="B18" s="13"/>
      <c r="C18" s="13"/>
      <c r="D18" s="13"/>
      <c r="E18" s="10" t="s">
        <v>734</v>
      </c>
      <c r="F18" s="10"/>
      <c r="G18" s="10"/>
      <c r="H18" s="10">
        <f t="shared" si="0"/>
        <v>0</v>
      </c>
    </row>
    <row r="19" spans="1:8" s="11" customFormat="1" ht="15" x14ac:dyDescent="0.55000000000000004">
      <c r="A19" s="10" t="s">
        <v>735</v>
      </c>
      <c r="B19" s="13"/>
      <c r="C19" s="13"/>
      <c r="D19" s="13"/>
      <c r="E19" s="10" t="s">
        <v>736</v>
      </c>
      <c r="F19" s="10"/>
      <c r="G19" s="10"/>
      <c r="H19" s="10">
        <f t="shared" si="0"/>
        <v>0</v>
      </c>
    </row>
    <row r="20" spans="1:8" s="11" customFormat="1" ht="15" x14ac:dyDescent="0.55000000000000004">
      <c r="A20" s="10" t="s">
        <v>737</v>
      </c>
      <c r="B20" s="13"/>
      <c r="C20" s="13"/>
      <c r="D20" s="13"/>
      <c r="E20" s="10" t="s">
        <v>738</v>
      </c>
      <c r="F20" s="10"/>
      <c r="G20" s="10"/>
      <c r="H20" s="10">
        <f t="shared" si="0"/>
        <v>0</v>
      </c>
    </row>
    <row r="21" spans="1:8" s="11" customFormat="1" ht="15" x14ac:dyDescent="0.55000000000000004">
      <c r="A21" s="10" t="s">
        <v>739</v>
      </c>
      <c r="B21" s="13"/>
      <c r="C21" s="13"/>
      <c r="D21" s="13"/>
      <c r="E21" s="10" t="s">
        <v>740</v>
      </c>
      <c r="F21" s="10"/>
      <c r="G21" s="10"/>
      <c r="H21" s="10">
        <f t="shared" si="0"/>
        <v>0</v>
      </c>
    </row>
    <row r="22" spans="1:8" s="11" customFormat="1" ht="15" x14ac:dyDescent="0.55000000000000004">
      <c r="A22" s="10" t="s">
        <v>741</v>
      </c>
      <c r="B22" s="13"/>
      <c r="C22" s="13"/>
      <c r="D22" s="13"/>
      <c r="E22" s="10" t="s">
        <v>742</v>
      </c>
      <c r="F22" s="10"/>
      <c r="G22" s="10"/>
      <c r="H22" s="10">
        <f t="shared" si="0"/>
        <v>0</v>
      </c>
    </row>
    <row r="23" spans="1:8" s="11" customFormat="1" ht="15" x14ac:dyDescent="0.55000000000000004">
      <c r="A23" s="10" t="s">
        <v>743</v>
      </c>
      <c r="B23" s="13"/>
      <c r="C23" s="13"/>
      <c r="D23" s="13"/>
      <c r="E23" s="10" t="s">
        <v>744</v>
      </c>
      <c r="F23" s="10"/>
      <c r="G23" s="10"/>
      <c r="H23" s="10">
        <f t="shared" si="0"/>
        <v>0</v>
      </c>
    </row>
    <row r="24" spans="1:8" s="11" customFormat="1" ht="15" x14ac:dyDescent="0.55000000000000004">
      <c r="A24" s="10" t="s">
        <v>745</v>
      </c>
      <c r="B24" s="13"/>
      <c r="C24" s="13"/>
      <c r="D24" s="13"/>
      <c r="E24" s="10" t="s">
        <v>746</v>
      </c>
      <c r="F24" s="10"/>
      <c r="G24" s="10"/>
      <c r="H24" s="10">
        <f t="shared" si="0"/>
        <v>0</v>
      </c>
    </row>
    <row r="25" spans="1:8" s="11" customFormat="1" ht="15" x14ac:dyDescent="0.55000000000000004">
      <c r="A25" s="10" t="s">
        <v>747</v>
      </c>
      <c r="B25" s="13"/>
      <c r="C25" s="13"/>
      <c r="D25" s="13"/>
      <c r="E25" s="10" t="s">
        <v>748</v>
      </c>
      <c r="F25" s="10"/>
      <c r="G25" s="10"/>
      <c r="H25" s="10">
        <f t="shared" si="0"/>
        <v>0</v>
      </c>
    </row>
    <row r="26" spans="1:8" s="11" customFormat="1" ht="15" x14ac:dyDescent="0.55000000000000004">
      <c r="A26" s="10" t="s">
        <v>749</v>
      </c>
      <c r="B26" s="13"/>
      <c r="C26" s="13"/>
      <c r="D26" s="13"/>
      <c r="E26" s="10" t="s">
        <v>750</v>
      </c>
      <c r="F26" s="10"/>
      <c r="G26" s="10"/>
      <c r="H26" s="10">
        <f t="shared" si="0"/>
        <v>0</v>
      </c>
    </row>
    <row r="27" spans="1:8" s="11" customFormat="1" ht="15" x14ac:dyDescent="0.55000000000000004">
      <c r="A27" s="10" t="s">
        <v>751</v>
      </c>
      <c r="B27" s="13"/>
      <c r="C27" s="13"/>
      <c r="D27" s="13"/>
      <c r="E27" s="10" t="s">
        <v>752</v>
      </c>
      <c r="F27" s="10"/>
      <c r="G27" s="10"/>
      <c r="H27" s="10">
        <f t="shared" si="0"/>
        <v>0</v>
      </c>
    </row>
    <row r="28" spans="1:8" s="11" customFormat="1" ht="15" x14ac:dyDescent="0.55000000000000004">
      <c r="A28" s="10" t="s">
        <v>753</v>
      </c>
      <c r="B28" s="13"/>
      <c r="C28" s="13"/>
      <c r="D28" s="13"/>
      <c r="E28" s="10" t="s">
        <v>754</v>
      </c>
      <c r="F28" s="10"/>
      <c r="G28" s="10"/>
      <c r="H28" s="10">
        <f t="shared" si="0"/>
        <v>0</v>
      </c>
    </row>
    <row r="29" spans="1:8" s="11" customFormat="1" ht="15" x14ac:dyDescent="0.55000000000000004">
      <c r="A29" s="10" t="s">
        <v>755</v>
      </c>
      <c r="B29" s="13"/>
      <c r="C29" s="13"/>
      <c r="D29" s="13"/>
      <c r="E29" s="10" t="s">
        <v>756</v>
      </c>
      <c r="F29" s="10"/>
      <c r="G29" s="10"/>
      <c r="H29" s="10">
        <f t="shared" si="0"/>
        <v>0</v>
      </c>
    </row>
    <row r="30" spans="1:8" s="11" customFormat="1" ht="15" x14ac:dyDescent="0.55000000000000004">
      <c r="A30" s="10" t="s">
        <v>757</v>
      </c>
      <c r="B30" s="13"/>
      <c r="C30" s="13"/>
      <c r="D30" s="13"/>
      <c r="E30" s="10" t="s">
        <v>758</v>
      </c>
      <c r="F30" s="10"/>
      <c r="G30" s="10"/>
      <c r="H30" s="10">
        <f t="shared" si="0"/>
        <v>0</v>
      </c>
    </row>
    <row r="31" spans="1:8" s="11" customFormat="1" ht="15" x14ac:dyDescent="0.55000000000000004">
      <c r="A31" s="10" t="s">
        <v>759</v>
      </c>
      <c r="B31" s="13"/>
      <c r="C31" s="13"/>
      <c r="D31" s="13"/>
      <c r="E31" s="10" t="s">
        <v>760</v>
      </c>
      <c r="F31" s="10"/>
      <c r="G31" s="10"/>
      <c r="H31" s="10">
        <f t="shared" si="0"/>
        <v>0</v>
      </c>
    </row>
    <row r="32" spans="1:8" s="11" customFormat="1" ht="15" x14ac:dyDescent="0.55000000000000004">
      <c r="A32" s="10" t="s">
        <v>761</v>
      </c>
      <c r="B32" s="13"/>
      <c r="C32" s="13"/>
      <c r="D32" s="13"/>
      <c r="E32" s="10" t="s">
        <v>762</v>
      </c>
      <c r="F32" s="10"/>
      <c r="G32" s="10"/>
      <c r="H32" s="10">
        <f t="shared" si="0"/>
        <v>0</v>
      </c>
    </row>
    <row r="33" spans="1:8" s="11" customFormat="1" ht="15" x14ac:dyDescent="0.55000000000000004">
      <c r="A33" s="10" t="s">
        <v>763</v>
      </c>
      <c r="B33" s="13"/>
      <c r="C33" s="13"/>
      <c r="D33" s="13"/>
      <c r="E33" s="10" t="s">
        <v>760</v>
      </c>
      <c r="F33" s="10"/>
      <c r="G33" s="10"/>
      <c r="H33" s="10">
        <f t="shared" si="0"/>
        <v>0</v>
      </c>
    </row>
    <row r="34" spans="1:8" s="11" customFormat="1" ht="15" x14ac:dyDescent="0.55000000000000004">
      <c r="A34" s="10" t="s">
        <v>764</v>
      </c>
      <c r="B34" s="13"/>
      <c r="C34" s="13"/>
      <c r="D34" s="13"/>
      <c r="E34" s="10" t="s">
        <v>765</v>
      </c>
      <c r="F34" s="10"/>
      <c r="G34" s="10"/>
      <c r="H34" s="10">
        <f t="shared" si="0"/>
        <v>0</v>
      </c>
    </row>
    <row r="35" spans="1:8" s="11" customFormat="1" ht="15" x14ac:dyDescent="0.55000000000000004">
      <c r="A35" s="10" t="s">
        <v>766</v>
      </c>
      <c r="B35" s="13"/>
      <c r="C35" s="13"/>
      <c r="D35" s="13"/>
      <c r="E35" s="10" t="s">
        <v>767</v>
      </c>
      <c r="F35" s="10">
        <v>400</v>
      </c>
      <c r="G35" s="10">
        <v>103</v>
      </c>
      <c r="H35" s="10">
        <f t="shared" si="0"/>
        <v>41200</v>
      </c>
    </row>
    <row r="36" spans="1:8" s="11" customFormat="1" ht="15" x14ac:dyDescent="0.55000000000000004">
      <c r="A36" s="10" t="s">
        <v>768</v>
      </c>
      <c r="B36" s="13"/>
      <c r="C36" s="13"/>
      <c r="D36" s="13"/>
      <c r="E36" s="10" t="s">
        <v>769</v>
      </c>
      <c r="F36" s="10">
        <v>430</v>
      </c>
      <c r="G36" s="10">
        <v>18</v>
      </c>
      <c r="H36" s="10">
        <f t="shared" si="0"/>
        <v>7740</v>
      </c>
    </row>
    <row r="37" spans="1:8" s="11" customFormat="1" ht="15" x14ac:dyDescent="0.55000000000000004">
      <c r="A37" s="10" t="s">
        <v>770</v>
      </c>
      <c r="B37" s="13"/>
      <c r="C37" s="13"/>
      <c r="D37" s="13"/>
      <c r="E37" s="30" t="s">
        <v>771</v>
      </c>
      <c r="F37" s="10">
        <v>1294</v>
      </c>
      <c r="G37" s="10"/>
      <c r="H37" s="10">
        <f t="shared" si="0"/>
        <v>0</v>
      </c>
    </row>
    <row r="38" spans="1:8" hidden="1" x14ac:dyDescent="0.55000000000000004">
      <c r="A38" s="2"/>
      <c r="B38" s="2"/>
      <c r="C38" s="2"/>
      <c r="D38" s="2"/>
      <c r="E38" s="14"/>
    </row>
    <row r="40" spans="1:8" x14ac:dyDescent="0.55000000000000004">
      <c r="H40" s="36">
        <f>SUM(H2:H39)</f>
        <v>52791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8A2E-3EC8-455C-8E18-CF0F37355F98}">
  <dimension ref="A1:H43"/>
  <sheetViews>
    <sheetView zoomScale="85" zoomScaleNormal="85" workbookViewId="0">
      <selection activeCell="J33" sqref="J33"/>
    </sheetView>
  </sheetViews>
  <sheetFormatPr defaultColWidth="8.83203125" defaultRowHeight="18" x14ac:dyDescent="0.55000000000000004"/>
  <cols>
    <col min="1" max="1" width="27" customWidth="1"/>
    <col min="2" max="2" width="12.1640625" customWidth="1"/>
    <col min="3" max="4" width="14.6640625" customWidth="1"/>
    <col min="5" max="5" width="22.1640625" customWidth="1"/>
    <col min="6" max="6" width="12" customWidth="1"/>
    <col min="7" max="7" width="13.1640625" customWidth="1"/>
    <col min="8" max="8" width="9.6640625" bestFit="1" customWidth="1"/>
  </cols>
  <sheetData>
    <row r="1" spans="1:8" x14ac:dyDescent="0.55000000000000004">
      <c r="A1" s="3" t="s">
        <v>0</v>
      </c>
      <c r="B1" s="4" t="s">
        <v>3</v>
      </c>
      <c r="C1" s="4" t="s">
        <v>1</v>
      </c>
      <c r="D1" s="4" t="s">
        <v>4</v>
      </c>
      <c r="E1" s="3" t="s">
        <v>0</v>
      </c>
      <c r="F1" s="16" t="s">
        <v>3</v>
      </c>
      <c r="G1" s="17" t="s">
        <v>1</v>
      </c>
      <c r="H1" s="3" t="s">
        <v>4</v>
      </c>
    </row>
    <row r="2" spans="1:8" s="11" customFormat="1" ht="15" x14ac:dyDescent="0.55000000000000004">
      <c r="A2" s="10" t="s">
        <v>772</v>
      </c>
      <c r="B2" s="10">
        <v>520</v>
      </c>
      <c r="C2" s="10">
        <v>0.25</v>
      </c>
      <c r="D2" s="10">
        <f>SUM(C2*B2)</f>
        <v>130</v>
      </c>
      <c r="E2" s="10" t="s">
        <v>773</v>
      </c>
      <c r="F2" s="10"/>
      <c r="G2" s="10"/>
      <c r="H2" s="10">
        <f>SUM(G2*F2)</f>
        <v>0</v>
      </c>
    </row>
    <row r="3" spans="1:8" s="11" customFormat="1" ht="15" x14ac:dyDescent="0.55000000000000004">
      <c r="A3" s="30" t="s">
        <v>774</v>
      </c>
      <c r="B3" s="10">
        <v>273</v>
      </c>
      <c r="C3" s="10">
        <v>1.75</v>
      </c>
      <c r="D3" s="10">
        <f t="shared" ref="D3:D37" si="0">SUM(C3*B3)</f>
        <v>477.75</v>
      </c>
      <c r="E3" s="10" t="s">
        <v>775</v>
      </c>
      <c r="F3" s="10">
        <v>0.56000000000000005</v>
      </c>
      <c r="G3" s="10">
        <v>100</v>
      </c>
      <c r="H3" s="10">
        <f t="shared" ref="H3:H37" si="1">SUM(G3*F3)</f>
        <v>56.000000000000007</v>
      </c>
    </row>
    <row r="4" spans="1:8" s="11" customFormat="1" ht="15" x14ac:dyDescent="0.55000000000000004">
      <c r="A4" s="10" t="s">
        <v>776</v>
      </c>
      <c r="B4" s="10">
        <v>540</v>
      </c>
      <c r="C4" s="10">
        <v>0.5</v>
      </c>
      <c r="D4" s="10">
        <f t="shared" si="0"/>
        <v>270</v>
      </c>
      <c r="E4" s="10" t="s">
        <v>777</v>
      </c>
      <c r="F4" s="10">
        <v>0.56000000000000005</v>
      </c>
      <c r="G4" s="10"/>
      <c r="H4" s="10">
        <f t="shared" si="1"/>
        <v>0</v>
      </c>
    </row>
    <row r="5" spans="1:8" s="11" customFormat="1" ht="15" x14ac:dyDescent="0.55000000000000004">
      <c r="A5" s="30" t="s">
        <v>778</v>
      </c>
      <c r="B5" s="10">
        <v>474</v>
      </c>
      <c r="C5" s="10">
        <v>0.5</v>
      </c>
      <c r="D5" s="10">
        <f t="shared" si="0"/>
        <v>237</v>
      </c>
      <c r="E5" s="10" t="s">
        <v>779</v>
      </c>
      <c r="F5" s="10">
        <v>128</v>
      </c>
      <c r="G5" s="10">
        <v>3</v>
      </c>
      <c r="H5" s="10">
        <f t="shared" si="1"/>
        <v>384</v>
      </c>
    </row>
    <row r="6" spans="1:8" s="11" customFormat="1" ht="15" x14ac:dyDescent="0.55000000000000004">
      <c r="A6" s="30" t="s">
        <v>780</v>
      </c>
      <c r="B6" s="10">
        <v>474</v>
      </c>
      <c r="C6" s="10">
        <v>1.75</v>
      </c>
      <c r="D6" s="10">
        <f t="shared" si="0"/>
        <v>829.5</v>
      </c>
      <c r="E6" s="10" t="s">
        <v>781</v>
      </c>
      <c r="F6" s="10">
        <v>398</v>
      </c>
      <c r="G6" s="10">
        <v>4</v>
      </c>
      <c r="H6" s="10">
        <f t="shared" si="1"/>
        <v>1592</v>
      </c>
    </row>
    <row r="7" spans="1:8" s="11" customFormat="1" ht="15" x14ac:dyDescent="0.55000000000000004">
      <c r="A7" s="10" t="s">
        <v>782</v>
      </c>
      <c r="B7" s="10">
        <v>1500</v>
      </c>
      <c r="C7" s="10"/>
      <c r="D7" s="10">
        <f t="shared" si="0"/>
        <v>0</v>
      </c>
      <c r="E7" s="10" t="s">
        <v>783</v>
      </c>
      <c r="F7" s="10">
        <v>98</v>
      </c>
      <c r="G7" s="10">
        <v>2</v>
      </c>
      <c r="H7" s="10">
        <f t="shared" si="1"/>
        <v>196</v>
      </c>
    </row>
    <row r="8" spans="1:8" s="11" customFormat="1" ht="15" x14ac:dyDescent="0.55000000000000004">
      <c r="A8" s="10" t="s">
        <v>784</v>
      </c>
      <c r="B8" s="10">
        <v>656</v>
      </c>
      <c r="C8" s="10">
        <v>4.5</v>
      </c>
      <c r="D8" s="10">
        <f t="shared" si="0"/>
        <v>2952</v>
      </c>
      <c r="E8" s="10" t="s">
        <v>785</v>
      </c>
      <c r="F8" s="10"/>
      <c r="G8" s="10"/>
      <c r="H8" s="10">
        <f t="shared" si="1"/>
        <v>0</v>
      </c>
    </row>
    <row r="9" spans="1:8" s="11" customFormat="1" ht="15" x14ac:dyDescent="0.55000000000000004">
      <c r="A9" s="10" t="s">
        <v>786</v>
      </c>
      <c r="B9" s="10">
        <v>7770</v>
      </c>
      <c r="C9" s="10">
        <v>1.5</v>
      </c>
      <c r="D9" s="10">
        <f>SUM(C9*B9)</f>
        <v>11655</v>
      </c>
      <c r="E9" s="10" t="s">
        <v>787</v>
      </c>
      <c r="F9" s="10">
        <v>2.4500000000000002</v>
      </c>
      <c r="G9" s="10">
        <v>5</v>
      </c>
      <c r="H9" s="10">
        <f t="shared" si="1"/>
        <v>12.25</v>
      </c>
    </row>
    <row r="10" spans="1:8" s="11" customFormat="1" ht="15" x14ac:dyDescent="0.55000000000000004">
      <c r="A10" s="10" t="s">
        <v>788</v>
      </c>
      <c r="B10" s="10">
        <v>350</v>
      </c>
      <c r="C10" s="10">
        <v>13</v>
      </c>
      <c r="D10" s="10">
        <f t="shared" si="0"/>
        <v>4550</v>
      </c>
      <c r="E10" s="10" t="s">
        <v>789</v>
      </c>
      <c r="F10" s="10"/>
      <c r="G10" s="10"/>
      <c r="H10" s="10">
        <f t="shared" si="1"/>
        <v>0</v>
      </c>
    </row>
    <row r="11" spans="1:8" s="11" customFormat="1" ht="15" x14ac:dyDescent="0.55000000000000004">
      <c r="A11" s="10" t="s">
        <v>790</v>
      </c>
      <c r="B11" s="10">
        <v>350</v>
      </c>
      <c r="C11" s="10">
        <v>0</v>
      </c>
      <c r="D11" s="10">
        <f t="shared" si="0"/>
        <v>0</v>
      </c>
      <c r="E11" s="10" t="s">
        <v>791</v>
      </c>
      <c r="F11" s="10"/>
      <c r="G11" s="10"/>
      <c r="H11" s="10">
        <f t="shared" si="1"/>
        <v>0</v>
      </c>
    </row>
    <row r="12" spans="1:8" s="11" customFormat="1" ht="15" x14ac:dyDescent="0.55000000000000004">
      <c r="A12" s="10" t="s">
        <v>792</v>
      </c>
      <c r="B12" s="10">
        <v>350</v>
      </c>
      <c r="C12" s="10">
        <v>12</v>
      </c>
      <c r="D12" s="10">
        <f t="shared" si="0"/>
        <v>4200</v>
      </c>
      <c r="E12" s="10" t="s">
        <v>793</v>
      </c>
      <c r="F12" s="10"/>
      <c r="G12" s="10"/>
      <c r="H12" s="10">
        <f t="shared" si="1"/>
        <v>0</v>
      </c>
    </row>
    <row r="13" spans="1:8" s="11" customFormat="1" ht="15" x14ac:dyDescent="0.55000000000000004">
      <c r="A13" s="10" t="s">
        <v>794</v>
      </c>
      <c r="B13" s="10">
        <v>350</v>
      </c>
      <c r="C13" s="10">
        <v>10</v>
      </c>
      <c r="D13" s="10">
        <f t="shared" si="0"/>
        <v>3500</v>
      </c>
      <c r="E13" s="10" t="s">
        <v>795</v>
      </c>
      <c r="F13" s="10">
        <v>21.28</v>
      </c>
      <c r="G13" s="10">
        <v>74</v>
      </c>
      <c r="H13" s="10">
        <f t="shared" si="1"/>
        <v>1574.72</v>
      </c>
    </row>
    <row r="14" spans="1:8" s="11" customFormat="1" ht="15" x14ac:dyDescent="0.55000000000000004">
      <c r="A14" s="10" t="s">
        <v>796</v>
      </c>
      <c r="B14" s="13">
        <v>350</v>
      </c>
      <c r="C14" s="13">
        <v>8</v>
      </c>
      <c r="D14" s="10">
        <f t="shared" si="0"/>
        <v>2800</v>
      </c>
      <c r="E14" s="10" t="s">
        <v>797</v>
      </c>
      <c r="F14" s="10"/>
      <c r="G14" s="10"/>
      <c r="H14" s="10">
        <f t="shared" si="1"/>
        <v>0</v>
      </c>
    </row>
    <row r="15" spans="1:8" s="11" customFormat="1" ht="15" x14ac:dyDescent="0.55000000000000004">
      <c r="A15" s="30" t="s">
        <v>798</v>
      </c>
      <c r="B15" s="13">
        <v>1331</v>
      </c>
      <c r="C15" s="13"/>
      <c r="D15" s="10">
        <f t="shared" si="0"/>
        <v>0</v>
      </c>
      <c r="E15" s="10" t="s">
        <v>799</v>
      </c>
      <c r="F15" s="10"/>
      <c r="G15" s="10"/>
      <c r="H15" s="10">
        <f t="shared" si="1"/>
        <v>0</v>
      </c>
    </row>
    <row r="16" spans="1:8" s="11" customFormat="1" ht="15" x14ac:dyDescent="0.55000000000000004">
      <c r="A16" s="10" t="s">
        <v>800</v>
      </c>
      <c r="B16" s="13">
        <v>440</v>
      </c>
      <c r="C16" s="13">
        <v>0.5</v>
      </c>
      <c r="D16" s="10">
        <f t="shared" si="0"/>
        <v>220</v>
      </c>
      <c r="E16" s="10" t="s">
        <v>801</v>
      </c>
      <c r="F16" s="10"/>
      <c r="G16" s="10"/>
      <c r="H16" s="10">
        <f t="shared" si="1"/>
        <v>0</v>
      </c>
    </row>
    <row r="17" spans="1:8" s="11" customFormat="1" ht="15" x14ac:dyDescent="0.55000000000000004">
      <c r="A17" s="10" t="s">
        <v>802</v>
      </c>
      <c r="B17" s="13">
        <v>3100</v>
      </c>
      <c r="C17" s="13">
        <v>1</v>
      </c>
      <c r="D17" s="10">
        <f t="shared" si="0"/>
        <v>3100</v>
      </c>
      <c r="E17" s="10" t="s">
        <v>803</v>
      </c>
      <c r="F17" s="10"/>
      <c r="G17" s="10"/>
      <c r="H17" s="10">
        <f t="shared" si="1"/>
        <v>0</v>
      </c>
    </row>
    <row r="18" spans="1:8" s="11" customFormat="1" ht="15" x14ac:dyDescent="0.55000000000000004">
      <c r="A18" s="30" t="s">
        <v>804</v>
      </c>
      <c r="B18" s="13">
        <v>108</v>
      </c>
      <c r="C18" s="13">
        <v>7.5</v>
      </c>
      <c r="D18" s="10">
        <f t="shared" si="0"/>
        <v>810</v>
      </c>
      <c r="E18" s="10" t="s">
        <v>805</v>
      </c>
      <c r="F18" s="10"/>
      <c r="G18" s="10"/>
      <c r="H18" s="10">
        <f t="shared" si="1"/>
        <v>0</v>
      </c>
    </row>
    <row r="19" spans="1:8" s="11" customFormat="1" ht="15" x14ac:dyDescent="0.55000000000000004">
      <c r="A19" s="10" t="s">
        <v>806</v>
      </c>
      <c r="B19" s="13">
        <v>475</v>
      </c>
      <c r="C19" s="13">
        <v>3.25</v>
      </c>
      <c r="D19" s="10">
        <f t="shared" si="0"/>
        <v>1543.75</v>
      </c>
      <c r="E19" s="10" t="s">
        <v>807</v>
      </c>
      <c r="F19" s="10"/>
      <c r="G19" s="10"/>
      <c r="H19" s="10">
        <f t="shared" si="1"/>
        <v>0</v>
      </c>
    </row>
    <row r="20" spans="1:8" s="11" customFormat="1" ht="15" x14ac:dyDescent="0.55000000000000004">
      <c r="A20" s="10" t="s">
        <v>808</v>
      </c>
      <c r="B20" s="13">
        <v>723</v>
      </c>
      <c r="C20" s="13">
        <v>0.25</v>
      </c>
      <c r="D20" s="10">
        <f t="shared" si="0"/>
        <v>180.75</v>
      </c>
      <c r="E20" s="10" t="s">
        <v>809</v>
      </c>
      <c r="F20" s="10"/>
      <c r="G20" s="10"/>
      <c r="H20" s="10">
        <f t="shared" si="1"/>
        <v>0</v>
      </c>
    </row>
    <row r="21" spans="1:8" s="11" customFormat="1" ht="15" x14ac:dyDescent="0.55000000000000004">
      <c r="A21" s="30" t="s">
        <v>810</v>
      </c>
      <c r="B21" s="13">
        <v>3770</v>
      </c>
      <c r="C21" s="13"/>
      <c r="D21" s="10">
        <f t="shared" si="0"/>
        <v>0</v>
      </c>
      <c r="E21" s="10" t="s">
        <v>811</v>
      </c>
      <c r="F21" s="10"/>
      <c r="G21" s="10"/>
      <c r="H21" s="10">
        <f t="shared" si="1"/>
        <v>0</v>
      </c>
    </row>
    <row r="22" spans="1:8" s="11" customFormat="1" ht="15" x14ac:dyDescent="0.55000000000000004">
      <c r="A22" s="10" t="s">
        <v>812</v>
      </c>
      <c r="B22" s="13">
        <v>980</v>
      </c>
      <c r="C22" s="13">
        <v>0.5</v>
      </c>
      <c r="D22" s="10">
        <f t="shared" si="0"/>
        <v>490</v>
      </c>
      <c r="E22" s="10" t="s">
        <v>813</v>
      </c>
      <c r="F22" s="10"/>
      <c r="G22" s="10"/>
      <c r="H22" s="10">
        <f t="shared" si="1"/>
        <v>0</v>
      </c>
    </row>
    <row r="23" spans="1:8" s="11" customFormat="1" ht="15" x14ac:dyDescent="0.55000000000000004">
      <c r="A23" s="10" t="s">
        <v>814</v>
      </c>
      <c r="B23" s="13">
        <v>440</v>
      </c>
      <c r="C23" s="13">
        <v>3</v>
      </c>
      <c r="D23" s="10">
        <f t="shared" si="0"/>
        <v>1320</v>
      </c>
      <c r="E23" s="10" t="s">
        <v>815</v>
      </c>
      <c r="F23" s="10"/>
      <c r="G23" s="10"/>
      <c r="H23" s="10">
        <f t="shared" si="1"/>
        <v>0</v>
      </c>
    </row>
    <row r="24" spans="1:8" s="11" customFormat="1" ht="15" x14ac:dyDescent="0.55000000000000004">
      <c r="A24" s="10" t="s">
        <v>369</v>
      </c>
      <c r="B24" s="13">
        <v>1540</v>
      </c>
      <c r="C24" s="13">
        <v>5.5</v>
      </c>
      <c r="D24" s="10">
        <f t="shared" si="0"/>
        <v>8470</v>
      </c>
      <c r="E24" s="10" t="s">
        <v>816</v>
      </c>
      <c r="F24" s="10"/>
      <c r="G24" s="10"/>
      <c r="H24" s="10">
        <f t="shared" si="1"/>
        <v>0</v>
      </c>
    </row>
    <row r="25" spans="1:8" s="11" customFormat="1" ht="15" x14ac:dyDescent="0.55000000000000004">
      <c r="A25" s="10" t="s">
        <v>817</v>
      </c>
      <c r="B25" s="13">
        <v>2950</v>
      </c>
      <c r="C25" s="13">
        <v>1</v>
      </c>
      <c r="D25" s="10">
        <f t="shared" si="0"/>
        <v>2950</v>
      </c>
      <c r="E25" s="10" t="s">
        <v>818</v>
      </c>
      <c r="F25" s="10"/>
      <c r="G25" s="10"/>
      <c r="H25" s="10">
        <f t="shared" si="1"/>
        <v>0</v>
      </c>
    </row>
    <row r="26" spans="1:8" s="11" customFormat="1" ht="15" x14ac:dyDescent="0.55000000000000004">
      <c r="A26" s="10" t="s">
        <v>819</v>
      </c>
      <c r="B26" s="13">
        <v>710</v>
      </c>
      <c r="C26" s="13">
        <v>1.75</v>
      </c>
      <c r="D26" s="10">
        <f t="shared" si="0"/>
        <v>1242.5</v>
      </c>
      <c r="E26" s="10" t="s">
        <v>820</v>
      </c>
      <c r="F26" s="10"/>
      <c r="G26" s="10"/>
      <c r="H26" s="10">
        <v>19200</v>
      </c>
    </row>
    <row r="27" spans="1:8" s="11" customFormat="1" ht="15" x14ac:dyDescent="0.55000000000000004">
      <c r="A27" s="10" t="s">
        <v>821</v>
      </c>
      <c r="B27" s="13">
        <v>690</v>
      </c>
      <c r="C27" s="13">
        <v>1.75</v>
      </c>
      <c r="D27" s="10">
        <f t="shared" si="0"/>
        <v>1207.5</v>
      </c>
      <c r="E27" s="10" t="s">
        <v>822</v>
      </c>
      <c r="F27" s="10"/>
      <c r="G27" s="10"/>
      <c r="H27" s="10">
        <f t="shared" si="1"/>
        <v>0</v>
      </c>
    </row>
    <row r="28" spans="1:8" s="11" customFormat="1" ht="15" x14ac:dyDescent="0.55000000000000004">
      <c r="A28" s="10" t="s">
        <v>823</v>
      </c>
      <c r="B28" s="13">
        <v>510</v>
      </c>
      <c r="C28" s="13">
        <v>1.5</v>
      </c>
      <c r="D28" s="10">
        <f t="shared" si="0"/>
        <v>765</v>
      </c>
      <c r="E28" s="10" t="s">
        <v>824</v>
      </c>
      <c r="F28" s="10"/>
      <c r="G28" s="10"/>
      <c r="H28" s="10">
        <f t="shared" si="1"/>
        <v>0</v>
      </c>
    </row>
    <row r="29" spans="1:8" s="11" customFormat="1" ht="15" x14ac:dyDescent="0.55000000000000004">
      <c r="A29" s="31" t="s">
        <v>825</v>
      </c>
      <c r="B29" s="13">
        <v>1761</v>
      </c>
      <c r="C29" s="13">
        <v>2</v>
      </c>
      <c r="D29" s="10">
        <f t="shared" si="0"/>
        <v>3522</v>
      </c>
      <c r="E29" s="10" t="s">
        <v>826</v>
      </c>
      <c r="F29" s="10">
        <v>225</v>
      </c>
      <c r="G29" s="10">
        <v>89</v>
      </c>
      <c r="H29" s="10">
        <f t="shared" si="1"/>
        <v>20025</v>
      </c>
    </row>
    <row r="30" spans="1:8" s="11" customFormat="1" ht="15" x14ac:dyDescent="0.55000000000000004">
      <c r="A30" s="10" t="s">
        <v>827</v>
      </c>
      <c r="B30" s="13">
        <v>1480</v>
      </c>
      <c r="C30" s="13">
        <v>1</v>
      </c>
      <c r="D30" s="10">
        <f t="shared" si="0"/>
        <v>1480</v>
      </c>
      <c r="E30" s="10"/>
      <c r="F30" s="10"/>
      <c r="G30" s="10"/>
      <c r="H30" s="10">
        <f t="shared" si="1"/>
        <v>0</v>
      </c>
    </row>
    <row r="31" spans="1:8" s="11" customFormat="1" ht="15" x14ac:dyDescent="0.55000000000000004">
      <c r="A31" s="10" t="s">
        <v>828</v>
      </c>
      <c r="B31" s="13">
        <v>3400</v>
      </c>
      <c r="C31" s="13">
        <v>0.75</v>
      </c>
      <c r="D31" s="10">
        <f t="shared" si="0"/>
        <v>2550</v>
      </c>
      <c r="E31" s="10"/>
      <c r="F31" s="10"/>
      <c r="G31" s="10"/>
      <c r="H31" s="10">
        <f t="shared" si="1"/>
        <v>0</v>
      </c>
    </row>
    <row r="32" spans="1:8" s="11" customFormat="1" ht="15" x14ac:dyDescent="0.55000000000000004">
      <c r="A32" s="10" t="s">
        <v>829</v>
      </c>
      <c r="B32" s="13">
        <v>780</v>
      </c>
      <c r="C32" s="13">
        <v>0.5</v>
      </c>
      <c r="D32" s="10">
        <f t="shared" si="0"/>
        <v>390</v>
      </c>
      <c r="E32" s="10"/>
      <c r="F32" s="10"/>
      <c r="G32" s="10"/>
      <c r="H32" s="10">
        <f t="shared" si="1"/>
        <v>0</v>
      </c>
    </row>
    <row r="33" spans="1:8" s="11" customFormat="1" ht="15" x14ac:dyDescent="0.55000000000000004">
      <c r="A33" s="10" t="s">
        <v>830</v>
      </c>
      <c r="B33" s="13">
        <v>430</v>
      </c>
      <c r="C33" s="13">
        <v>1.5</v>
      </c>
      <c r="D33" s="10">
        <f t="shared" si="0"/>
        <v>645</v>
      </c>
      <c r="E33" s="10"/>
      <c r="F33" s="10"/>
      <c r="G33" s="10"/>
      <c r="H33" s="10">
        <f t="shared" si="1"/>
        <v>0</v>
      </c>
    </row>
    <row r="34" spans="1:8" s="11" customFormat="1" ht="15" x14ac:dyDescent="0.55000000000000004">
      <c r="A34" s="10" t="s">
        <v>831</v>
      </c>
      <c r="B34" s="13">
        <v>510</v>
      </c>
      <c r="C34" s="13">
        <v>5</v>
      </c>
      <c r="D34" s="10">
        <f t="shared" si="0"/>
        <v>2550</v>
      </c>
      <c r="E34" s="10"/>
      <c r="F34" s="10"/>
      <c r="G34" s="10"/>
      <c r="H34" s="10">
        <f t="shared" si="1"/>
        <v>0</v>
      </c>
    </row>
    <row r="35" spans="1:8" s="11" customFormat="1" ht="15" x14ac:dyDescent="0.55000000000000004">
      <c r="A35" s="30" t="s">
        <v>832</v>
      </c>
      <c r="B35" s="13"/>
      <c r="C35" s="13">
        <v>2</v>
      </c>
      <c r="D35" s="10">
        <f t="shared" si="0"/>
        <v>0</v>
      </c>
      <c r="E35" s="10"/>
      <c r="F35" s="10"/>
      <c r="G35" s="10"/>
      <c r="H35" s="10">
        <f t="shared" si="1"/>
        <v>0</v>
      </c>
    </row>
    <row r="36" spans="1:8" s="11" customFormat="1" ht="15" x14ac:dyDescent="0.55000000000000004">
      <c r="A36" s="10" t="s">
        <v>833</v>
      </c>
      <c r="B36" s="13">
        <v>1080</v>
      </c>
      <c r="C36" s="13">
        <v>1.25</v>
      </c>
      <c r="D36" s="10">
        <f t="shared" si="0"/>
        <v>1350</v>
      </c>
      <c r="E36" s="10"/>
      <c r="F36" s="10"/>
      <c r="G36" s="10"/>
      <c r="H36" s="10">
        <f t="shared" si="1"/>
        <v>0</v>
      </c>
    </row>
    <row r="37" spans="1:8" s="11" customFormat="1" ht="15" x14ac:dyDescent="0.55000000000000004">
      <c r="A37" s="30" t="s">
        <v>834</v>
      </c>
      <c r="B37" s="13"/>
      <c r="C37" s="13"/>
      <c r="D37" s="10">
        <f t="shared" si="0"/>
        <v>0</v>
      </c>
      <c r="E37" s="10"/>
      <c r="F37" s="10"/>
      <c r="G37" s="10"/>
      <c r="H37" s="10">
        <f t="shared" si="1"/>
        <v>0</v>
      </c>
    </row>
    <row r="38" spans="1:8" hidden="1" x14ac:dyDescent="0.55000000000000004">
      <c r="A38" s="2"/>
      <c r="B38" s="2"/>
      <c r="C38" s="2"/>
      <c r="D38" s="2"/>
      <c r="E38" s="14"/>
    </row>
    <row r="40" spans="1:8" x14ac:dyDescent="0.55000000000000004">
      <c r="D40" s="36">
        <f>SUM(D2:D37)</f>
        <v>66387.75</v>
      </c>
      <c r="H40" s="36">
        <f>SUM(H2:H39)</f>
        <v>43039.97</v>
      </c>
    </row>
    <row r="41" spans="1:8" x14ac:dyDescent="0.55000000000000004">
      <c r="E41" s="36">
        <f>SUM(D40,H40)</f>
        <v>109427.72</v>
      </c>
    </row>
    <row r="42" spans="1:8" x14ac:dyDescent="0.55000000000000004">
      <c r="D42" s="41" t="s">
        <v>305</v>
      </c>
      <c r="E42" s="42">
        <v>413312.97</v>
      </c>
    </row>
    <row r="43" spans="1:8" x14ac:dyDescent="0.55000000000000004">
      <c r="E43" s="36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19</vt:i4>
      </vt:variant>
    </vt:vector>
  </HeadingPairs>
  <TitlesOfParts>
    <vt:vector size="19" baseType="lpstr">
      <vt:lpstr>Sheet1 (5)</vt:lpstr>
      <vt:lpstr>さんちょうめ1</vt:lpstr>
      <vt:lpstr>さんちょうめ2</vt:lpstr>
      <vt:lpstr>さんちょうめ3</vt:lpstr>
      <vt:lpstr>さんちょうめ4</vt:lpstr>
      <vt:lpstr>とりやま1</vt:lpstr>
      <vt:lpstr>とりやま2</vt:lpstr>
      <vt:lpstr>とりやま3</vt:lpstr>
      <vt:lpstr>とりやま4</vt:lpstr>
      <vt:lpstr>とりやま5</vt:lpstr>
      <vt:lpstr>とりやま６</vt:lpstr>
      <vt:lpstr>ｃｋ1</vt:lpstr>
      <vt:lpstr>ｃｋ2</vt:lpstr>
      <vt:lpstr>ｃｋ3</vt:lpstr>
      <vt:lpstr>ｃｋ4</vt:lpstr>
      <vt:lpstr>ベイク1</vt:lpstr>
      <vt:lpstr>ベイク2</vt:lpstr>
      <vt:lpstr>ベイク3</vt:lpstr>
      <vt:lpstr>ベイク4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隆章 見越</cp:lastModifiedBy>
  <cp:revision/>
  <dcterms:created xsi:type="dcterms:W3CDTF">2026-01-14T01:31:55Z</dcterms:created>
  <dcterms:modified xsi:type="dcterms:W3CDTF">2026-07-27T23:03:35Z</dcterms:modified>
  <cp:category/>
  <cp:contentStatus/>
</cp:coreProperties>
</file>